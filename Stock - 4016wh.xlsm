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indows\ServiceProfiles\NetworkService\AppData\Local\Packages\oice_16_974fa576_32c1d314_35d4\AC\Temp\"/>
    </mc:Choice>
  </mc:AlternateContent>
  <xr:revisionPtr revIDLastSave="0" documentId="8_{08196537-6FEC-2A49-9316-6CEB87917C1E}" xr6:coauthVersionLast="47" xr6:coauthVersionMax="47" xr10:uidLastSave="{00000000-0000-0000-0000-000000000000}"/>
  <bookViews>
    <workbookView xWindow="-60" yWindow="-60" windowWidth="15480" windowHeight="11640" xr2:uid="{54BA8983-294E-4E04-B2BD-354B6283C457}"/>
  </bookViews>
  <sheets>
    <sheet name="Stock" sheetId="1" r:id="rId1"/>
    <sheet name="Macro1" sheetId="2" r:id="rId2"/>
  </sheets>
  <definedNames>
    <definedName name="_xlnm.Auto_Open">Macro1!$B$1</definedName>
    <definedName name="Macro1">Macro1!$A$1</definedName>
    <definedName name="Macro10">Macro1!$A$8</definedName>
    <definedName name="Macro11">Macro1!$A$15</definedName>
    <definedName name="Macro12">Macro1!$A$22</definedName>
    <definedName name="Macro13">Macro1!$A$29</definedName>
    <definedName name="Macro14">Macro1!$A$36</definedName>
    <definedName name="Macro2">Macro1!$A$68</definedName>
    <definedName name="Macro3">Macro1!$A$75</definedName>
    <definedName name="Macro4">Macro1!$A$82</definedName>
    <definedName name="Macro5">Macro1!$A$89</definedName>
    <definedName name="Macro6">Macro1!$A$96</definedName>
    <definedName name="Macro7">Macro1!$A$103</definedName>
    <definedName name="Macro8">Macro1!$A$110</definedName>
    <definedName name="Macro9">Macro1!$A$117</definedName>
    <definedName name="Recover">Macro1!$A$124</definedName>
    <definedName name="TableName">"Dummy"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<sst xmlns="http://schemas.openxmlformats.org/spreadsheetml/2006/main" count="7120" uniqueCount="2002">
  <si>
    <t>Stock</t>
  </si>
  <si>
    <t>Last Run Date:07-Oct-26 07:15 PM</t>
  </si>
  <si>
    <t>Store ID:&lt;All&gt;</t>
  </si>
  <si>
    <t>Store Name:&lt;All&gt;</t>
  </si>
  <si>
    <t>Department Name</t>
  </si>
  <si>
    <t>Category Name</t>
  </si>
  <si>
    <t>Brand</t>
  </si>
  <si>
    <t>Item Code</t>
  </si>
  <si>
    <t>Item Description</t>
  </si>
  <si>
    <t>Model</t>
  </si>
  <si>
    <t>Color</t>
  </si>
  <si>
    <t>Loc</t>
  </si>
  <si>
    <t>QTY ATP</t>
  </si>
  <si>
    <t>QTY On-Hand</t>
  </si>
  <si>
    <t>QTY Reserved</t>
  </si>
  <si>
    <t>Small Home Appliance</t>
  </si>
  <si>
    <t>Kitchen Machine</t>
  </si>
  <si>
    <t>KenWood</t>
  </si>
  <si>
    <t>KHH05.000SI</t>
  </si>
  <si>
    <t>KW Ketchin Machine KHH05.000SI</t>
  </si>
  <si>
    <t>00C158401KEEG</t>
  </si>
  <si>
    <t>NULL</t>
  </si>
  <si>
    <t>New</t>
  </si>
  <si>
    <t>KHH05.000BK</t>
  </si>
  <si>
    <t>Kenwood Stand Mixer, 5 Liter, 1400 Watt, Silver - KHH05.000B</t>
  </si>
  <si>
    <t>00C158402KEEG</t>
  </si>
  <si>
    <t>KHH05.120SI</t>
  </si>
  <si>
    <t>KW Kitchen Machine KHH05.120SI W/BLENDER SLVR</t>
  </si>
  <si>
    <t>00C158411KEEG</t>
  </si>
  <si>
    <t>KETTLE</t>
  </si>
  <si>
    <t>ZJP00.000BK</t>
  </si>
  <si>
    <t>KENWOOD Kettle ZJP00.000BK BOL  PLASTIC BK</t>
  </si>
  <si>
    <t>00C284900KEEG</t>
  </si>
  <si>
    <t>ZJP00.000WH</t>
  </si>
  <si>
    <t>KENWOOD Kettle ZJP00.000WH BOL  PLASTIC WH</t>
  </si>
  <si>
    <t>00C284901KEEG</t>
  </si>
  <si>
    <t>Air fryer</t>
  </si>
  <si>
    <t>HFM80.000SS</t>
  </si>
  <si>
    <t>KW AIRFRYER HFM80.000SS 7LMETAL</t>
  </si>
  <si>
    <t>00C462800KEME</t>
  </si>
  <si>
    <t>HFP92.000BK</t>
  </si>
  <si>
    <t>KENWOOD AIRFRYER HFP92.000BK  9L BK</t>
  </si>
  <si>
    <t>00C463010KEEG</t>
  </si>
  <si>
    <t>HFP76.000BK</t>
  </si>
  <si>
    <t>KW AIRFRYER HFP76.000BK 7,5L BK</t>
  </si>
  <si>
    <t>00C463410KEEG</t>
  </si>
  <si>
    <t>HFP47.000BK</t>
  </si>
  <si>
    <t>KENWOOD AIRFRYER HFP47.000BK  4,5L DGT BK</t>
  </si>
  <si>
    <t>00C463910KEEG</t>
  </si>
  <si>
    <t>Vacume Cleaner</t>
  </si>
  <si>
    <t>VBP80.000GB</t>
  </si>
  <si>
    <t>KW BAGLESS Vacuum Cleaner VBP80.000GB GYBK EG</t>
  </si>
  <si>
    <t>00P273395KEEG</t>
  </si>
  <si>
    <t>IRON</t>
  </si>
  <si>
    <t>GSP70.300WH</t>
  </si>
  <si>
    <t>Kenwood Garment Steamer GSP70.300WH  WHROSE EG</t>
  </si>
  <si>
    <t>00S417600KEEG</t>
  </si>
  <si>
    <t>GSP80.400BK</t>
  </si>
  <si>
    <t>Kenwood Garment Steamer GSP80.400BK  BKGOLD EG</t>
  </si>
  <si>
    <t>00S417700KEEG</t>
  </si>
  <si>
    <t>STP60.000WB</t>
  </si>
  <si>
    <t>KW Steam Iron STP60.000WB CERAMIC Blue</t>
  </si>
  <si>
    <t>00S619200</t>
  </si>
  <si>
    <t>STP76.000WG</t>
  </si>
  <si>
    <t>KW Steam Iron STP76.000WG CERAMIC Green</t>
  </si>
  <si>
    <t>00S619300KEEG</t>
  </si>
  <si>
    <t>STP75.000WB</t>
  </si>
  <si>
    <t>Kenwood Steam Iron, Ceramic,2600 Watt, 350 ml, Blue - STP75.</t>
  </si>
  <si>
    <t>00S619400KEEG</t>
  </si>
  <si>
    <t>STP46.000WP</t>
  </si>
  <si>
    <t>KW Steam Iron STP46.000WP TEFLON PURPLE</t>
  </si>
  <si>
    <t>00S623401KEEG</t>
  </si>
  <si>
    <t>STP50.000WO</t>
  </si>
  <si>
    <t>Kenwood Steam Iron STP50.000WO 2100W Ceramic White-Orange</t>
  </si>
  <si>
    <t>00S623501KEEG</t>
  </si>
  <si>
    <t>Coffe Machine</t>
  </si>
  <si>
    <t>DELONGHI</t>
  </si>
  <si>
    <t>ECAM290.61.B</t>
  </si>
  <si>
    <t>DL CM FULLY-AUTOMATICMC ECAM290.61.B</t>
  </si>
  <si>
    <t>0132215472</t>
  </si>
  <si>
    <t>EXAM440.55.B</t>
  </si>
  <si>
    <t>DL CM FULLY-AUTOMATICMC EXAM440.55.B</t>
  </si>
  <si>
    <t>EXAM440.55.BG</t>
  </si>
  <si>
    <t>DL CM FULLY-AUTOMATICMC EXAM440.55.BG</t>
  </si>
  <si>
    <t>0132215474</t>
  </si>
  <si>
    <t>EXAM440.55.G</t>
  </si>
  <si>
    <t>DL CM FULLY-AUTOMATICMC EXAM440.55.G</t>
  </si>
  <si>
    <t>0132215490</t>
  </si>
  <si>
    <t>ECAM320.61.G</t>
  </si>
  <si>
    <t>DL CM FULLY-AUTOMATICMC ECAM320.61.G</t>
  </si>
  <si>
    <t>0132250017</t>
  </si>
  <si>
    <t>ECAM310.80.SB</t>
  </si>
  <si>
    <t>DL CM FULLY-AUTOMATICMC ECAM310.80.SB</t>
  </si>
  <si>
    <t>0132250041</t>
  </si>
  <si>
    <t>KVL85.004SI</t>
  </si>
  <si>
    <t>Kenwood Titanium Chef Baker XL, Kitchen Machine, 7L, 1400 Wa</t>
  </si>
  <si>
    <t>0W20011377</t>
  </si>
  <si>
    <t>KMX751ARD</t>
  </si>
  <si>
    <t>Kenwood Stand Mixer, 5 Liter, 1000 Watt, Red - KMX751ARD</t>
  </si>
  <si>
    <t>0W20011525</t>
  </si>
  <si>
    <t>Food Processor</t>
  </si>
  <si>
    <t>FDP65.750WH</t>
  </si>
  <si>
    <t>KW FOODPROCESSOR FDP65.750WH PBL/FP3/MM/CP/CFJ/ET/DT EG</t>
  </si>
  <si>
    <t>0W22010083</t>
  </si>
  <si>
    <t>Braun</t>
  </si>
  <si>
    <t>GS5011PU</t>
  </si>
  <si>
    <t>BRAUN Garment steamer QuickStyle 5 1200W GS5011PU Purple</t>
  </si>
  <si>
    <t>0X13810100</t>
  </si>
  <si>
    <t>GS5031BL</t>
  </si>
  <si>
    <t>BRAUN Garment steamer QuickStyle 5 1200W GS5031BL Black</t>
  </si>
  <si>
    <t>0X13810101</t>
  </si>
  <si>
    <t>GS7077BK</t>
  </si>
  <si>
    <t>BRAUN Garment steamer QuickStyle 7 1600W GS7077BK copper</t>
  </si>
  <si>
    <t>0X13810102</t>
  </si>
  <si>
    <t>Hand Blender</t>
  </si>
  <si>
    <t>MQ5285BK</t>
  </si>
  <si>
    <t>Braun MultiQuick 5 MQ5285BK HB Black</t>
  </si>
  <si>
    <t>0X22111419</t>
  </si>
  <si>
    <t>MQ10.001MWH</t>
  </si>
  <si>
    <t>BRAUN Hand Blender MQ10.001MWH</t>
  </si>
  <si>
    <t>0X22111470</t>
  </si>
  <si>
    <t>MQ10.202MWH</t>
  </si>
  <si>
    <t>BRAUN Hand blender MQ10.202MWH  1speed,  350ml chopper ,Beak</t>
  </si>
  <si>
    <t>0X22111475</t>
  </si>
  <si>
    <t>MQ20236MWH</t>
  </si>
  <si>
    <t>BRAUN Hand blender MQ20236MWH 2-speed,  500ml chopper, 600W</t>
  </si>
  <si>
    <t>0X22111491</t>
  </si>
  <si>
    <t>MQ55755MBK</t>
  </si>
  <si>
    <t>Braun MultiQuick 5 Pro MQ 55755 M Black</t>
  </si>
  <si>
    <t>0X22111502</t>
  </si>
  <si>
    <t>MQ30202MWH</t>
  </si>
  <si>
    <t>Braun MultiQuick 3 MQ 30202 M White</t>
  </si>
  <si>
    <t>0X22111504</t>
  </si>
  <si>
    <t>MQ55254MBK</t>
  </si>
  <si>
    <t>Braun MultiQuick 5 Pro MQ 55254 M Black</t>
  </si>
  <si>
    <t>MQ50236MWH</t>
  </si>
  <si>
    <t>Braun MultiQuick 5 MQ 50236 M White</t>
  </si>
  <si>
    <t>0X22111509</t>
  </si>
  <si>
    <t>Electronics</t>
  </si>
  <si>
    <t>Printer</t>
  </si>
  <si>
    <t>Xerox</t>
  </si>
  <si>
    <t>106R02773</t>
  </si>
  <si>
    <t>3020/3025  STD Cap toner (1.5K)</t>
  </si>
  <si>
    <t>Services</t>
  </si>
  <si>
    <t>Marketing</t>
  </si>
  <si>
    <t>SAMSUNG</t>
  </si>
  <si>
    <t>112051400102451</t>
  </si>
  <si>
    <t>Lazurde Gold Necklace - Barq</t>
  </si>
  <si>
    <t>Air Heater</t>
  </si>
  <si>
    <t>HFS50B20.GR</t>
  </si>
  <si>
    <t>DL Fan Heater HFS50B20.GR  Gray 2000W</t>
  </si>
  <si>
    <t>114581018</t>
  </si>
  <si>
    <t>HFS50B20.YE</t>
  </si>
  <si>
    <t>DL Fan Heater HFS50B20.YE Yellow 2000W</t>
  </si>
  <si>
    <t>114581019</t>
  </si>
  <si>
    <t>HFS50B20.AV</t>
  </si>
  <si>
    <t>DL Fan Heater HFS50B20.AV Avio Blue 2000 W Blue</t>
  </si>
  <si>
    <t>114581020</t>
  </si>
  <si>
    <t>SI1040GR</t>
  </si>
  <si>
    <t>Braun Steam Iron SI1040GR SuperCeramic 2000 WATT</t>
  </si>
  <si>
    <t>127407002</t>
  </si>
  <si>
    <t>SI1050BL</t>
  </si>
  <si>
    <t>Braun Steam Iron SI1050BL SuperCeramic 2000 WATT</t>
  </si>
  <si>
    <t>127407003</t>
  </si>
  <si>
    <t>SI1070PU</t>
  </si>
  <si>
    <t>Braun Steam Iron SI1070PU SuperCeramic 2000 WATT- Auto shut</t>
  </si>
  <si>
    <t>127407004</t>
  </si>
  <si>
    <t>ECAM290.31.SB</t>
  </si>
  <si>
    <t>DL COFFEE MACHINE FULL AUTO. ECAM290.31.SB</t>
  </si>
  <si>
    <t>132220047</t>
  </si>
  <si>
    <t>ECAM220.22.GB</t>
  </si>
  <si>
    <t>DL COFFEE MACHINE FULL AUTO. ECAM220.22.GB</t>
  </si>
  <si>
    <t>132220079</t>
  </si>
  <si>
    <t>ECAM223.61.GB</t>
  </si>
  <si>
    <t>DL COFFEE MACHINE FULL AUTO. ECAM223.61.GB</t>
  </si>
  <si>
    <t>132250025</t>
  </si>
  <si>
    <t>Promo marketing</t>
  </si>
  <si>
    <t>21046140014</t>
  </si>
  <si>
    <t>Lazurde Gold Necklace</t>
  </si>
  <si>
    <t>3020v-BI</t>
  </si>
  <si>
    <t>Xerox? Phaser? 3020 BI</t>
  </si>
  <si>
    <t>White</t>
  </si>
  <si>
    <t>3025V-NI</t>
  </si>
  <si>
    <t>Xerox? WorkCentre? 3025 NI</t>
  </si>
  <si>
    <t>Home Appliance</t>
  </si>
  <si>
    <t>Air Conditioner</t>
  </si>
  <si>
    <t>YORK</t>
  </si>
  <si>
    <t>3MTR14122212C</t>
  </si>
  <si>
    <t>1412 Tube for York 12C</t>
  </si>
  <si>
    <t>TVs</t>
  </si>
  <si>
    <t>Hisense</t>
  </si>
  <si>
    <t>50A6N</t>
  </si>
  <si>
    <t>Hisense LED TV 50 inch , UHD , smart , A6N,BT</t>
  </si>
  <si>
    <t>55A6N</t>
  </si>
  <si>
    <t>Hisense LED TV 55 inch , UHD , smart , A6N,BT</t>
  </si>
  <si>
    <t>LG</t>
  </si>
  <si>
    <t>55NU850B6LA</t>
  </si>
  <si>
    <t>55 inch LG NANO 4K UHD AI NU85 Smart TV 2026</t>
  </si>
  <si>
    <t>65A6Q</t>
  </si>
  <si>
    <t>TV HISENSE A6Q 65 UHD SMART TV</t>
  </si>
  <si>
    <t>Lenovo</t>
  </si>
  <si>
    <t>65CCAAC6EU</t>
  </si>
  <si>
    <t>LI2215s-21.5 Monitor</t>
  </si>
  <si>
    <t>65NU850B6LA</t>
  </si>
  <si>
    <t>65 inch LG NANO 4K UHD AI NU85 Smart TV 2026</t>
  </si>
  <si>
    <t>85A6N</t>
  </si>
  <si>
    <t>Hisense LED TV 85 inch , UHD , smart , A6N,BT</t>
  </si>
  <si>
    <t>85NU840B6LA</t>
  </si>
  <si>
    <t>85 inch LG NANO 4K UHD AI NU84 Smart,Magic Remote  TV 2026</t>
  </si>
  <si>
    <t>85NU850B6LA</t>
  </si>
  <si>
    <t>85 inch LG NANO 4K UHD AI NU85 Smart TV 2026</t>
  </si>
  <si>
    <t>85QNED70B6T</t>
  </si>
  <si>
    <t>85 inch LG QNED AI QNED70 Mini LED 4K Smart TV 2026</t>
  </si>
  <si>
    <t>HP</t>
  </si>
  <si>
    <t>537P5C</t>
  </si>
  <si>
    <t>HP OfficeJet Pro 9730 Wide Format All-in-One Printer (537P5C</t>
  </si>
  <si>
    <t>9730</t>
  </si>
  <si>
    <t>Black</t>
  </si>
  <si>
    <t>Handsets</t>
  </si>
  <si>
    <t>New Handsets</t>
  </si>
  <si>
    <t>A045F-Copper</t>
  </si>
  <si>
    <t>Samsung A04 (3-32G)-Copper</t>
  </si>
  <si>
    <t>A04(3-32G)</t>
  </si>
  <si>
    <t>Copper</t>
  </si>
  <si>
    <t>A07 6G-Black</t>
  </si>
  <si>
    <t>Samsung A07 (6+128G)- Black</t>
  </si>
  <si>
    <t>A07 (6+128G)</t>
  </si>
  <si>
    <t>A166F-Black</t>
  </si>
  <si>
    <t>Samsung A16 (4-128G)-Black</t>
  </si>
  <si>
    <t>A16 (4-128G)</t>
  </si>
  <si>
    <t>A17 8G Black</t>
  </si>
  <si>
    <t>Samsung A17 (8-256) Black</t>
  </si>
  <si>
    <t>A17 ( 8-256 )</t>
  </si>
  <si>
    <t>A17 8G Light Blue</t>
  </si>
  <si>
    <t>Samsung A17 (8-256) Light Blue</t>
  </si>
  <si>
    <t>Blue</t>
  </si>
  <si>
    <t>A17 8G Gray</t>
  </si>
  <si>
    <t>Samsung A17 (8-256) Gray</t>
  </si>
  <si>
    <t>Grey</t>
  </si>
  <si>
    <t>A17 8G Black-5G</t>
  </si>
  <si>
    <t>Samsung A17 5G (8-256) Black</t>
  </si>
  <si>
    <t>A17 ( 8-256 ) 5G</t>
  </si>
  <si>
    <t>A17 8G Gray-5G</t>
  </si>
  <si>
    <t>Samsung A17 5G (8-256) Gray</t>
  </si>
  <si>
    <t>A37 Violet-12G</t>
  </si>
  <si>
    <t>Samsung Galaxy A37 5G (12+256)-Violet</t>
  </si>
  <si>
    <t>A37 5G(12-256G)</t>
  </si>
  <si>
    <t>violet</t>
  </si>
  <si>
    <t>A56 8G-Black</t>
  </si>
  <si>
    <t>Samsung A56 (8+256)-Black</t>
  </si>
  <si>
    <t>A56 (8+256)</t>
  </si>
  <si>
    <t>A57 512-D Blue</t>
  </si>
  <si>
    <t>Samsung A57 (12+512)-Dark Blue</t>
  </si>
  <si>
    <t>A57 (12+512)</t>
  </si>
  <si>
    <t>Dark Blue</t>
  </si>
  <si>
    <t>A57 512-L Blue</t>
  </si>
  <si>
    <t>Samsung A57 (12+512)-Light Blue</t>
  </si>
  <si>
    <t>Light Blue</t>
  </si>
  <si>
    <t>A57 512-L Violet</t>
  </si>
  <si>
    <t>Samsung A57 (12+512)-Violet</t>
  </si>
  <si>
    <t>AC 12&amp;18K Pipe</t>
  </si>
  <si>
    <t>Hisense AC Pipe for 1.5 HP&amp; 2.25 HP</t>
  </si>
  <si>
    <t>AC 12K&amp; 18K-Pipe</t>
  </si>
  <si>
    <t>HI-12VHPA/ OUT</t>
  </si>
  <si>
    <t>Hisense AC inverter 1.5HP , Cool &amp; Heat - out door</t>
  </si>
  <si>
    <t>AC 12K-out</t>
  </si>
  <si>
    <t>HI-18VHPA/ IN</t>
  </si>
  <si>
    <t>Hisense AC inverter 2.25HP , Cool &amp; Heat - in door</t>
  </si>
  <si>
    <t>AC 18K-in</t>
  </si>
  <si>
    <t>HI-18VHPA/ OUT</t>
  </si>
  <si>
    <t>Hisense AC inverter 2.25HP , Cool &amp; Heat - out door</t>
  </si>
  <si>
    <t>AC 18K-out</t>
  </si>
  <si>
    <t>HI-24VHPA/ IN</t>
  </si>
  <si>
    <t>Hisense AC inverter 3HP , Cool &amp; Heat- in door</t>
  </si>
  <si>
    <t>AC 24K-in</t>
  </si>
  <si>
    <t>AR12JCFTPWQNBT</t>
  </si>
  <si>
    <t>Samsung 1.5 cool  air conditio</t>
  </si>
  <si>
    <t>Display</t>
  </si>
  <si>
    <t>AS-12CW4SWU00</t>
  </si>
  <si>
    <t>AC HISENSE 12K ON/OFF cool R410A/IN</t>
  </si>
  <si>
    <t>AS-12CW4SWUHA00</t>
  </si>
  <si>
    <t>AC HISENSE 12K ON/OFF cool R410A/OUT</t>
  </si>
  <si>
    <t>AS-12HW4SWU00</t>
  </si>
  <si>
    <t>AC HISENSE 12K ON/OFF H-P R410A/IN</t>
  </si>
  <si>
    <t>AS-12HW4SWUHA00</t>
  </si>
  <si>
    <t>AC HISENSE 12K ON/OFF H-P R410A/OUT</t>
  </si>
  <si>
    <t>HI-12VHPA/ IN</t>
  </si>
  <si>
    <t>Hisense AC inverter 1.5HP , Cool &amp; Heat - in door</t>
  </si>
  <si>
    <t>AS-12UW4SGRCA01A/IN</t>
  </si>
  <si>
    <t>AS-18CW4SXP00</t>
  </si>
  <si>
    <t>AC HISENSE 18K ON/OFF Cool R410A/IN</t>
  </si>
  <si>
    <t>AS-18CW4SXPHA00</t>
  </si>
  <si>
    <t>AC HISENSE 18K ON/OFF Cool R410A/OUT</t>
  </si>
  <si>
    <t>AS-18HW4SXP00</t>
  </si>
  <si>
    <t>AC HISENSE 18K ON/OFF H-P R410A/IN</t>
  </si>
  <si>
    <t>AS-18HW4SXPHA00</t>
  </si>
  <si>
    <t>AC HISENSE 18K ON/OFF H-P R410A/OUT</t>
  </si>
  <si>
    <t>3D Glasses</t>
  </si>
  <si>
    <t>BN96-32124A</t>
  </si>
  <si>
    <t>Pair of 3D glasses -samsung</t>
  </si>
  <si>
    <t>Speaker and Audio Systems</t>
  </si>
  <si>
    <t>BOUNCE</t>
  </si>
  <si>
    <t>LG xboom Bounce by will.i.am</t>
  </si>
  <si>
    <t>Mobile accessories</t>
  </si>
  <si>
    <t>BT Headsets</t>
  </si>
  <si>
    <t>8806097998471</t>
  </si>
  <si>
    <t>Samsung Buds 4 -Black</t>
  </si>
  <si>
    <t>Buds4</t>
  </si>
  <si>
    <t>GRAB</t>
  </si>
  <si>
    <t>LG xboom Grab tuned by will.i.am</t>
  </si>
  <si>
    <t>Computer accessories</t>
  </si>
  <si>
    <t>Notebook Accessories</t>
  </si>
  <si>
    <t>889955866059-ANS</t>
  </si>
  <si>
    <t>Lenovo 300 Wireless Mouse - Black-GX30K79401</t>
  </si>
  <si>
    <t>GX30K79401</t>
  </si>
  <si>
    <t>S731-Navy</t>
  </si>
  <si>
    <t>Samsung Galaxy S25 FE (8+256G)-Navy</t>
  </si>
  <si>
    <t>Galaxy S25 FE (8+256)</t>
  </si>
  <si>
    <t>Navy</t>
  </si>
  <si>
    <t>S938B-Silver-L</t>
  </si>
  <si>
    <t>Samsung Galaxy S25 Ultra (12+256GB) Silver</t>
  </si>
  <si>
    <t>Galaxy S25 Ultra  (12-256G)</t>
  </si>
  <si>
    <t>Silver</t>
  </si>
  <si>
    <t>S942-Violet</t>
  </si>
  <si>
    <t>Samsung Galaxy s26 (12+256 GB ) -Violet</t>
  </si>
  <si>
    <t>Galaxy S26 (12-256G)</t>
  </si>
  <si>
    <t>S741-Graphite</t>
  </si>
  <si>
    <t>Samsung Galaxy S26 FE (8+256)-Graphite</t>
  </si>
  <si>
    <t>Galaxy S26 FE (8+256)</t>
  </si>
  <si>
    <t>Graphite</t>
  </si>
  <si>
    <t>S741 Graphite-512</t>
  </si>
  <si>
    <t>Samsung Galaxy S26 FE (8+512)-Graphite</t>
  </si>
  <si>
    <t>Galaxy S26 FE (8+512)</t>
  </si>
  <si>
    <t>S947-Black</t>
  </si>
  <si>
    <t>Samsung Galaxy s26 Plus (12+256 GB ) -Black</t>
  </si>
  <si>
    <t>Galaxy S26 plus (12-256G)</t>
  </si>
  <si>
    <t>TV Accessory</t>
  </si>
  <si>
    <t>HW-Q700A/EG</t>
  </si>
  <si>
    <t>SAMSUNG Sound Bar HW-Q700A</t>
  </si>
  <si>
    <t>Watch</t>
  </si>
  <si>
    <t>Itel</t>
  </si>
  <si>
    <t>4894947016813</t>
  </si>
  <si>
    <t>Smart watch Itel ISW-011 black</t>
  </si>
  <si>
    <t>ISW-11</t>
  </si>
  <si>
    <t>4894947016820</t>
  </si>
  <si>
    <t>Smart watch Itel ISW-011 dark blue</t>
  </si>
  <si>
    <t>Skyline</t>
  </si>
  <si>
    <t>L32 NORMAL 32-22A</t>
  </si>
  <si>
    <t>SKYLINE 32 INCH HD TV ,HDMI 2,USB2,Warranty  1 year</t>
  </si>
  <si>
    <t>LFF3C</t>
  </si>
  <si>
    <t>Samsung 30? - 100? The Freestyle 2nd Gen with Gaming Hub Sma</t>
  </si>
  <si>
    <t>Monitors</t>
  </si>
  <si>
    <t>8806095344720</t>
  </si>
  <si>
    <t>Samsung 27  Odyssey G55C QHD 2K Curved Gaming Monitor, HRDR</t>
  </si>
  <si>
    <t>LS27CG552EMXEG</t>
  </si>
  <si>
    <t>8806095803036</t>
  </si>
  <si>
    <t>Samsung 27 (S30GD) Essential Monitor with IPS Panel and Til</t>
  </si>
  <si>
    <t>LS27D302GAUXEN</t>
  </si>
  <si>
    <t>LS32CG552EMXEG</t>
  </si>
  <si>
    <t>Samsung curved gaming monitor Odyssey G5 32 165Hz 2K</t>
  </si>
  <si>
    <t>Microwave</t>
  </si>
  <si>
    <t>MG32DG4524AGGY</t>
  </si>
  <si>
    <t>microwave 32 Liter, Grill ,Black</t>
  </si>
  <si>
    <t>MG40DG5524ATGY</t>
  </si>
  <si>
    <t>microwave 40 Liter, Grill ,Black</t>
  </si>
  <si>
    <t>MQ50202MBK</t>
  </si>
  <si>
    <t>BRAUN MultiQuick 5 MQ 50202 M Black</t>
  </si>
  <si>
    <t>MRA55R85H</t>
  </si>
  <si>
    <t>Samsung  TV 55 INCH ,Micro RGB R85H 4K, AI Smart ,Anti Refle</t>
  </si>
  <si>
    <t>MRA65R85H</t>
  </si>
  <si>
    <t>Samsung  TV 65 INCH ,Micro RGB R85H 4K, AI Smart , Anti Refl</t>
  </si>
  <si>
    <t>MRA75R85H</t>
  </si>
  <si>
    <t>Samsung  TV 75 INCH ,Micro RGB R85H 4K, AI Smart, Anti Refle</t>
  </si>
  <si>
    <t>MRA75R95H</t>
  </si>
  <si>
    <t>Samsung  TV 75 INCH ,Micro RGB R95H 4K, AI Smart ,Anti Refle</t>
  </si>
  <si>
    <t>MRA85R85H</t>
  </si>
  <si>
    <t>Samsung  TV 85 INCH ,Micro RGB R85H 4K, AI Smart, Anti Refle</t>
  </si>
  <si>
    <t>MS23K3614AW/GY</t>
  </si>
  <si>
    <t>microwave 23 Liter, Solo ,White/Black</t>
  </si>
  <si>
    <t>Mini Keyboard Mouse</t>
  </si>
  <si>
    <t>Mini Keyboard + Mouse</t>
  </si>
  <si>
    <t>Wall Mount</t>
  </si>
  <si>
    <t>Movable Wall Mount</t>
  </si>
  <si>
    <t>OLED55A36LA</t>
  </si>
  <si>
    <t>LG OLED A3 55'' AI Processor Gen6 with AI Super Upscaling 4K</t>
  </si>
  <si>
    <t>OLED55B66LA</t>
  </si>
  <si>
    <t>55 inch LG OLED AI B6 4K Smart TV,Magic Remote  2026</t>
  </si>
  <si>
    <t>OLED65B66LA</t>
  </si>
  <si>
    <t>65 inch LG OLED AI B6 4K Smart TV,Magic Remote  2026</t>
  </si>
  <si>
    <t>OLED65CS6VA</t>
  </si>
  <si>
    <t>65 inch LG OLED evo AI C6 4K Smart TV 2026</t>
  </si>
  <si>
    <t>OLED77B66LA</t>
  </si>
  <si>
    <t>77 inch LG OLED AI B6 4K Smart TV 2026</t>
  </si>
  <si>
    <t>QA55LS03D</t>
  </si>
  <si>
    <t>SAMSUNG QLED TV 55 INCH, Frame TV, QLED. Flat, smart, WIFI,</t>
  </si>
  <si>
    <t>QA55Q6F</t>
  </si>
  <si>
    <t>Samsung 55-inch 4K UHD QLED Vision AI Smart TV - 65Q6F</t>
  </si>
  <si>
    <t>QA55QN70H</t>
  </si>
  <si>
    <t>SAMSUNG QLED TV 55 INCH QN70H, QLED. Flat, smart, WIFI, NQ4</t>
  </si>
  <si>
    <t>QA55QN85C-ES</t>
  </si>
  <si>
    <t>SAMSUNG QLED TV 55 INCH QN85, QLED. Flat, smart, WIFI, built</t>
  </si>
  <si>
    <t>QA55QN85D</t>
  </si>
  <si>
    <t>QA55S85H</t>
  </si>
  <si>
    <t>SAMSUNG OLED TV 55 INCH S85H, OLED. Flat, smart, WIFI, Bluet</t>
  </si>
  <si>
    <t>QA55S90D</t>
  </si>
  <si>
    <t>SAMSUNG Neo QLED TV 55 INCH QN90D, QLED. Flat, smart, WIFI,</t>
  </si>
  <si>
    <t>QA65LS03H</t>
  </si>
  <si>
    <t>SAMSUNG QLED TV 65 INCH, Frame TV, QLED. Flat, smart, WIFI,</t>
  </si>
  <si>
    <t>QA65Q6F</t>
  </si>
  <si>
    <t>Samsung 65-inch 4K UHD QLED Vision AI Smart TV - 65Q6F</t>
  </si>
  <si>
    <t>QA65QN70F-ES</t>
  </si>
  <si>
    <t>65-Inch Class Neo QLED 4K Q7F Series  Quantum HDR, Object Tr</t>
  </si>
  <si>
    <t>QA65QN70H</t>
  </si>
  <si>
    <t>SAMSUNG QLED TV 65 INCH QN70H, QLED. Flat, smart, WIFI, NQ4</t>
  </si>
  <si>
    <t>QA65S85F</t>
  </si>
  <si>
    <t>SAMSUNG QLED TV 65 INCH S85F, QLED. Flat, smart, WIFI, built</t>
  </si>
  <si>
    <t>QA65S95H</t>
  </si>
  <si>
    <t>SAMSUNG OLED TV 65 INCH S95H, OLED. Flat, smart, WIFI, Bluet</t>
  </si>
  <si>
    <t>QA75LS03H</t>
  </si>
  <si>
    <t>SAMSUNG QLED TV 75 INCH, Frame TV, QLED. Flat, smart, WIFI,</t>
  </si>
  <si>
    <t>QA75QN70H</t>
  </si>
  <si>
    <t>SAMSUNG QLED TV 75 INCH QN70H, QLED. Flat, smart, WIFI, NQ4</t>
  </si>
  <si>
    <t>QA75QN80H-ES</t>
  </si>
  <si>
    <t>SAMSUNG QLED TV 75 INCH QN80H, QLED. Flat, smart, WIFI, NQ4</t>
  </si>
  <si>
    <t>QA77S95H</t>
  </si>
  <si>
    <t>SAMSUNG OLED TV 77 INCH S95H, OLED. Flat, smart, WIFI, Bluet</t>
  </si>
  <si>
    <t>QA83S85H</t>
  </si>
  <si>
    <t>SAMSUNG OLED TV 83 INCH S85H, OLED. Flat, smart, WIFI, Bluet</t>
  </si>
  <si>
    <t>QA83S90H</t>
  </si>
  <si>
    <t>SAMSUNG OLED TV 83 INCH S90H, OLED. Flat, smart, WIFI, Bluet</t>
  </si>
  <si>
    <t>QA83S95H</t>
  </si>
  <si>
    <t>SAMSUNG OLED TV 83 INCH S95H, OLED. Flat, smart, WIFI, Bluet</t>
  </si>
  <si>
    <t>Refrigerator</t>
  </si>
  <si>
    <t>RB34A6B0E12/MR</t>
  </si>
  <si>
    <t>Samsung RB34A6B0E12  Bottom Mounted Freezer Refrigerator,355</t>
  </si>
  <si>
    <t>RB34T671FS9/MR</t>
  </si>
  <si>
    <t>Samsung RB34T671FS9 Bottom Mounted Freezer Refrigerator,355L</t>
  </si>
  <si>
    <t>RS3N518NMIA1</t>
  </si>
  <si>
    <t>Hisense,SIDE BY SIDE, 519L Net ,Water Dispenser , No Frost C</t>
  </si>
  <si>
    <t>Chopper</t>
  </si>
  <si>
    <t>SARY</t>
  </si>
  <si>
    <t>SA-CHP700C2L-03</t>
  </si>
  <si>
    <t>SARY MEAT CHOPPER 700W STAINLESS STEEL BLADE 2L 2 SPEEDS</t>
  </si>
  <si>
    <t>Fans</t>
  </si>
  <si>
    <t>SA-EFC56C100N-02</t>
  </si>
  <si>
    <t>SARY CEILING  FAN  56INCH WHITE</t>
  </si>
  <si>
    <t>Oven</t>
  </si>
  <si>
    <t>SA-OVG200050LT-03</t>
  </si>
  <si>
    <t>SARY OVEN 2000W 50L 8  STAGES HEATING GRILL</t>
  </si>
  <si>
    <t>SA-TVL32A4000HS-01</t>
  </si>
  <si>
    <t>SARY 32 LED TV, SMART, 4000 SERIES, HD, RF TUNER,2 HDMI, 2</t>
  </si>
  <si>
    <t>SA-TVL32X4000HR-01</t>
  </si>
  <si>
    <t>SARY 32 LED TV, 4000 SERIES, HD, RF TUNER,2 HDMI, 2 USB, FR</t>
  </si>
  <si>
    <t>SA-TVL43A4000FS-01</t>
  </si>
  <si>
    <t>SARY LED TV 43 INCH, 4000, FHD,FRAMELESS, ANDROID SMART</t>
  </si>
  <si>
    <t>UA100M90H</t>
  </si>
  <si>
    <t>SAMSUNG TV 100 INCH M90H 4K, AI smart, WIFI, NQ4 AI Gen2 ,bu</t>
  </si>
  <si>
    <t>UA32H5000F</t>
  </si>
  <si>
    <t>SAMSUNG LED TV 32 INCH H5000F, HD, smart (2025), Wifi, built</t>
  </si>
  <si>
    <t>UA40T5300</t>
  </si>
  <si>
    <t>SAMSUNG LED TV 40 INCH T5300,</t>
  </si>
  <si>
    <t>UA43F6000F</t>
  </si>
  <si>
    <t>SAMSUNG LED TV 43 INCH F6000F, FHD. Flat, smart, Wi-Fi, buil</t>
  </si>
  <si>
    <t>UA43U8000H</t>
  </si>
  <si>
    <t>SAMSUNG LED TV 43 INCH U8000H, UHD. Flat, smart, Wi-Fi, buil</t>
  </si>
  <si>
    <t>UA50DU8000</t>
  </si>
  <si>
    <t>SAMSUNG LED TV 50 INCH U8000, UHD. Flat, smart, Wi-Fi, built</t>
  </si>
  <si>
    <t>UA50U8000F</t>
  </si>
  <si>
    <t>SAMSUNG LED TV 50 INCH U8000F, UHD. Flat, smart, Wi-Fi, buil</t>
  </si>
  <si>
    <t>UA50U8000H</t>
  </si>
  <si>
    <t>SAMSUNG LED TV 50 INCH U8000H, UHD. Flat, smart, Wi-Fi, buil</t>
  </si>
  <si>
    <t>UA55DU8000</t>
  </si>
  <si>
    <t>SAMSUNG LED TV 55 INCH U8000, UHD. Flat, smart, Wi-Fi, built</t>
  </si>
  <si>
    <t>UA55M70H</t>
  </si>
  <si>
    <t>SAMSUNG LED TV 55 INCH M70H, UHD. Flat, smart, Wi-Fi, built</t>
  </si>
  <si>
    <t>UA55M80H</t>
  </si>
  <si>
    <t>SAMSUNG LED TV 55 INCH M80H, UHD. Flat, smart, Wi-Fi, built</t>
  </si>
  <si>
    <t>UA55U8000F</t>
  </si>
  <si>
    <t>SAMSUNG LED TV 55 INCH U8000F, UHD. Flat, smart, Wi-Fi, buil</t>
  </si>
  <si>
    <t>UA55U8000H</t>
  </si>
  <si>
    <t>SAMSUNG LED TV 55 INCH U8000H, UHD. Flat, smart, Wi-Fi, buil</t>
  </si>
  <si>
    <t>UA65M70H</t>
  </si>
  <si>
    <t>SAMSUNG LED TV 65 INCH M70H, UHD. Flat, smart, Wi-Fi, built</t>
  </si>
  <si>
    <t>UA65M80H</t>
  </si>
  <si>
    <t>SAMSUNG LED TV 65 INCH M80H, UHD. Flat, smart, Wi-Fi, built</t>
  </si>
  <si>
    <t>UA65U8000H</t>
  </si>
  <si>
    <t>SAMSUNG LED TV 65 INCH U8000H, UHD. Flat, smart, Wi-Fi, buil</t>
  </si>
  <si>
    <t>UA75M70H</t>
  </si>
  <si>
    <t>SAMSUNG LED TV 75 INCH M70H, UHD. Flat, smart, Wi-Fi, built</t>
  </si>
  <si>
    <t>UA75M80H</t>
  </si>
  <si>
    <t>SAMSUNG LED TV 75 INCH M80H, UHD. Flat, smart, Wi-Fi, built</t>
  </si>
  <si>
    <t>UA75U8000H</t>
  </si>
  <si>
    <t>UA85M70H</t>
  </si>
  <si>
    <t>SAMSUNG LED TV 85 INCH M70H, UHD. Flat, smart, Wi-Fi, built</t>
  </si>
  <si>
    <t>UA85U8000F</t>
  </si>
  <si>
    <t>SAMSUNG LED TV 85 INCH U8000F, UHD. Flat, smart, Wi-Fi, buil</t>
  </si>
  <si>
    <t>UA85U8000H</t>
  </si>
  <si>
    <t>SAMSUNG LED TV 85 INCH U8000H, UHD. Flat, smart, Wi-Fi, buil</t>
  </si>
  <si>
    <t>UA98U9000H</t>
  </si>
  <si>
    <t>SAMSUNG LED TV 98 INCH U9000H, UHD. Flat, smart, Wi-Fi, buil</t>
  </si>
  <si>
    <t>VC18M2120SB/GT</t>
  </si>
  <si>
    <t>Samsung VCC 1800 W-Bagless  -</t>
  </si>
  <si>
    <t>VC20M2510WB/GT</t>
  </si>
  <si>
    <t>Samsung VCC  2000 W Bag  - 450</t>
  </si>
  <si>
    <t>VCC4540S36/EGT</t>
  </si>
  <si>
    <t>Vacuum Cleaner - Bag less- 180</t>
  </si>
  <si>
    <t>VG-SCFA55TRCRU</t>
  </si>
  <si>
    <t>TV frame accessories 55Red color</t>
  </si>
  <si>
    <t>Frame</t>
  </si>
  <si>
    <t>VG-SCFT55BL/RU</t>
  </si>
  <si>
    <t>TV frame accessories 55Black</t>
  </si>
  <si>
    <t>View Sonic</t>
  </si>
  <si>
    <t>766907032635</t>
  </si>
  <si>
    <t>View Sonic 24 IPS, 180Hz, 1ms, HDR 10, G-Sync Compatible</t>
  </si>
  <si>
    <t>VX24G1-HD</t>
  </si>
  <si>
    <t>Washing Machine</t>
  </si>
  <si>
    <t>WD90F22BCS/AS</t>
  </si>
  <si>
    <t>Samsung Front Loading combo 22KG,11KG dryer, LED display, St</t>
  </si>
  <si>
    <t>WW70T4020CX1AS</t>
  </si>
  <si>
    <t>Samsung front loading 7k, 1200 RPM, INOX, LED display, Steam</t>
  </si>
  <si>
    <t>WW80T4020CX1AS</t>
  </si>
  <si>
    <t>Samsung front loading 8k, 1200 RPM. INOX, LED display, Steam</t>
  </si>
  <si>
    <t>YD1832-BK</t>
  </si>
  <si>
    <t>SARY KETTEL, 1800W, 1.8L, STAINLESS STEEL, BLACK</t>
  </si>
  <si>
    <t>YD1832-BL</t>
  </si>
  <si>
    <t>SARY KETTEL, 1800W, 1.8L, STAINLESS STEEL, BLUE</t>
  </si>
  <si>
    <t>YHGE12XE-HC-RX-IN</t>
  </si>
  <si>
    <t>York- 12H ,  High Wall Split S</t>
  </si>
  <si>
    <t>Tesla</t>
  </si>
  <si>
    <t>TSL-CM200</t>
  </si>
  <si>
    <t>Power: 400-800W Capacity: 250ml x 2 suitable for brewing 1-8</t>
  </si>
  <si>
    <t>TSL-CM300</t>
  </si>
  <si>
    <t>Power: 700W Capacity: 1000ml water tankAccessories: Coffee s</t>
  </si>
  <si>
    <t>TSL-MW100</t>
  </si>
  <si>
    <t>Power: 1560W Capacity: 34L digital microwave oven Features:</t>
  </si>
  <si>
    <t>TSL-MW200</t>
  </si>
  <si>
    <t>TSL-VC100</t>
  </si>
  <si>
    <t>Power: 2000W Capacity: 4LAccessories: Metal brush, telescopi</t>
  </si>
  <si>
    <t>TSL-VC200</t>
  </si>
  <si>
    <t>Power 2000 capacity 4L Accessories: Metal brush,  Features:</t>
  </si>
  <si>
    <t>JUICER</t>
  </si>
  <si>
    <t>TSL-JC100</t>
  </si>
  <si>
    <t>Power 160W Accessories: 2 interchangeable cones big and smal</t>
  </si>
  <si>
    <t>TSL-AF100</t>
  </si>
  <si>
    <t>Power: 1500W Capacity: 6.0LAccessories:Grill tray for versat</t>
  </si>
  <si>
    <t>Stainless</t>
  </si>
  <si>
    <t>BLENDER</t>
  </si>
  <si>
    <t>TSL-BL200</t>
  </si>
  <si>
    <t>Power 600W Capacity 1.6L plastic jar, plastic grinder Access</t>
  </si>
  <si>
    <t>TSL-CH200</t>
  </si>
  <si>
    <t>Power 500W Capacity: 2L plastic bowl  Accessories: : 3-piece</t>
  </si>
  <si>
    <t>TSL-FP300</t>
  </si>
  <si>
    <t>Power 1000W Capacity:2.3L bowl for high-capacity food prepar</t>
  </si>
  <si>
    <t>TSL-SM300</t>
  </si>
  <si>
    <t>Power 1000W Capacity 5.5L stainless steel bowl with lid Acce</t>
  </si>
  <si>
    <t>TSL-SM400</t>
  </si>
  <si>
    <t>Power 1000WCapacity: 8.5L stainless steel bowl with lid Acce</t>
  </si>
  <si>
    <t>TSL-SM500</t>
  </si>
  <si>
    <t>Power: 1000W Capacity: 6.5L processing bowl Accessories: Hea</t>
  </si>
  <si>
    <t>Hand Mixer</t>
  </si>
  <si>
    <t>TSL-SM700</t>
  </si>
  <si>
    <t>Power 300W Capacity 3.0L stainless steel bowl Accessories 2</t>
  </si>
  <si>
    <t>8806097998068</t>
  </si>
  <si>
    <t>Samsung Buds 4 -White</t>
  </si>
  <si>
    <t>TSL-CH100</t>
  </si>
  <si>
    <t>Power 500W Capacity: 3L glass bowlAccessories: 3-piece blade</t>
  </si>
  <si>
    <t>Water Heater</t>
  </si>
  <si>
    <t>Aura</t>
  </si>
  <si>
    <t>105 MC</t>
  </si>
  <si>
    <t>instant electric water heater, 9 kW, white</t>
  </si>
  <si>
    <t>109R00848</t>
  </si>
  <si>
    <t>AL B8000 Cartridge</t>
  </si>
  <si>
    <t>Cover</t>
  </si>
  <si>
    <t>Non Brand</t>
  </si>
  <si>
    <t>11224537891</t>
  </si>
  <si>
    <t>Samsung A17 Cover and Screen</t>
  </si>
  <si>
    <t>Desktop</t>
  </si>
  <si>
    <t>11CTS0EQ00</t>
  </si>
  <si>
    <t>Desktop TC M80t I510400 8G N W10P</t>
  </si>
  <si>
    <t>TOSHIBA</t>
  </si>
  <si>
    <t>173859</t>
  </si>
  <si>
    <t>Wall mount 32-43 inch</t>
  </si>
  <si>
    <t>174336</t>
  </si>
  <si>
    <t>Lexmark</t>
  </si>
  <si>
    <t>36S0848</t>
  </si>
  <si>
    <t>LEXMARK-MX522adhe</t>
  </si>
  <si>
    <t>Carrier</t>
  </si>
  <si>
    <t>38KHCT12N-708BA</t>
  </si>
  <si>
    <t>38 KHCT12N -optimax pro-cool only r410a</t>
  </si>
  <si>
    <t>38KHCT18DN-708B</t>
  </si>
  <si>
    <t>Carrier AC Out Door Unit Cooling Only 2.25 HP Inverter</t>
  </si>
  <si>
    <t>38KHCT18N-708BA</t>
  </si>
  <si>
    <t>38 KHCT18N -708BA_2 Circut - optimax pro-cool only r410a</t>
  </si>
  <si>
    <t>38KHEFT12DN8</t>
  </si>
  <si>
    <t>Carrier AC 1.5  Cool Only New X Cool Inverter External Unit</t>
  </si>
  <si>
    <t>38KHEFT12N8</t>
  </si>
  <si>
    <t>Carrier AC 1.5H Cool Only X Cool External Unit</t>
  </si>
  <si>
    <t>38KHEFT18DN8</t>
  </si>
  <si>
    <t>Carrier AC 2.25  Cool Only New X Cool Inverter External Unit</t>
  </si>
  <si>
    <t>38KHEFT24DN8</t>
  </si>
  <si>
    <t>Carrier 3H Cool Only X COOL Inverter External Unit</t>
  </si>
  <si>
    <t>38QHABT30DN</t>
  </si>
  <si>
    <t>Carrier 4H Cool&amp;Heat Inverter External Unit</t>
  </si>
  <si>
    <t>38QHABT30N</t>
  </si>
  <si>
    <t>Carrier AC 4 H Cool&amp;Heat External Unit</t>
  </si>
  <si>
    <t>38QHABT36N</t>
  </si>
  <si>
    <t>Carrier AC 5HP Cool&amp;Heat External Unit</t>
  </si>
  <si>
    <t>38QHCT12N-708</t>
  </si>
  <si>
    <t>External Unit Carrier 1.5 HP Cool &amp; Heat 38QHCT12N-708</t>
  </si>
  <si>
    <t>38QHCT18N-708</t>
  </si>
  <si>
    <t>External Unit Carrier 2.25 HP Cool &amp; heat 38QHCT18N-708</t>
  </si>
  <si>
    <t>38QHCT24N-708</t>
  </si>
  <si>
    <t>External Unit Carrier 3 Hp Cool &amp; heat 38QHCT24N-708</t>
  </si>
  <si>
    <t>38QHEFT12DN8</t>
  </si>
  <si>
    <t>Carrier AC 1.5  Cool&amp;Heat Only New X Cool Inverter External</t>
  </si>
  <si>
    <t>38QHEFT12N8</t>
  </si>
  <si>
    <t>Carrier AC 1.5H Cool&amp;Heat X Cool External Unit</t>
  </si>
  <si>
    <t>38QHEFT18N8</t>
  </si>
  <si>
    <t>Carrier AC 2.25H Cool&amp;Heat X Cool External Unit</t>
  </si>
  <si>
    <t>38QHEFT24DN8</t>
  </si>
  <si>
    <t>Carrier AC 3H Cool&amp;Heat Inverter New X Cool External Unit</t>
  </si>
  <si>
    <t>38QHEFT24N8</t>
  </si>
  <si>
    <t>Carrier AC 3H Cool&amp;Heat X Cool External Unit</t>
  </si>
  <si>
    <t>Dishwasher</t>
  </si>
  <si>
    <t>Levon</t>
  </si>
  <si>
    <t>4132001</t>
  </si>
  <si>
    <t>Levon  dishwasher, 12 persons, silver, timer, 3 stages, safe</t>
  </si>
  <si>
    <t>42KHCT12N-708</t>
  </si>
  <si>
    <t>Internal Unit Carrier 1.5 HP Cool Only 42KHCT12N-708</t>
  </si>
  <si>
    <t>42KHCT18DN-708F</t>
  </si>
  <si>
    <t>Carrier AC In Door Unit Cooling Only 2.25 HP Inverter</t>
  </si>
  <si>
    <t>42KHCT24N-708</t>
  </si>
  <si>
    <t>Internal Unit Carrier Optimax Cooling Only Split Air Conditi</t>
  </si>
  <si>
    <t>42KHEFT12DN8</t>
  </si>
  <si>
    <t>Carrier AC 1.5  Cool Only New X Cool Inverter Internal Unit</t>
  </si>
  <si>
    <t>42KHEFT18DN8</t>
  </si>
  <si>
    <t>Carrier AC 2.25  Cool Only New X Cool Inverter Internal Unit</t>
  </si>
  <si>
    <t>42KHEFT24DN8</t>
  </si>
  <si>
    <t>Carrier 3H Cool Only X COOL Inverter Internal Unit</t>
  </si>
  <si>
    <t>42QDMT30-718 A6-M</t>
  </si>
  <si>
    <t>In-D 42QDMT30-718 SKD_A6</t>
  </si>
  <si>
    <t>42QHABT30DN</t>
  </si>
  <si>
    <t>Carrier 4H Cool&amp;Heat Inverter Internal Unit</t>
  </si>
  <si>
    <t>42QHABT30N</t>
  </si>
  <si>
    <t>Carrier AC 4 H Cool&amp;Heat Internal  Unit</t>
  </si>
  <si>
    <t>42QHABT36N</t>
  </si>
  <si>
    <t>Carrier AC 5HP Cool&amp;Heat Internal Unit</t>
  </si>
  <si>
    <t>42QHC24DN-708</t>
  </si>
  <si>
    <t>Carrier Air Condition 3 HP IN -Door Cold&amp;Hot Inverter</t>
  </si>
  <si>
    <t>42QHC24DN-708-M</t>
  </si>
  <si>
    <t>Inverter Optimax 3HP Cool &amp; He</t>
  </si>
  <si>
    <t>42QHCT12N-708F</t>
  </si>
  <si>
    <t>Internal Unit Carrier 1.5 HP Cool &amp; Heat 42QHCT12N-708F</t>
  </si>
  <si>
    <t>42QHCT18N-708F</t>
  </si>
  <si>
    <t>Internal Unit Carrier 2.25 HP Cool &amp; Heat 42QHCT18N-708F</t>
  </si>
  <si>
    <t>42QHCT24N-708F</t>
  </si>
  <si>
    <t>Internal Unit Carrier 3 Hp Cool &amp; heat 42QHCT24N-708F</t>
  </si>
  <si>
    <t>42QHEFT12N8</t>
  </si>
  <si>
    <t>Carrier AC 1.5H Cool&amp;Heat X Cool Internal Unit</t>
  </si>
  <si>
    <t>42QHEFT18N8</t>
  </si>
  <si>
    <t>Carrier AC 2.25H Cool&amp;Heat X Cool Internal Unit</t>
  </si>
  <si>
    <t>42QHEFT24DN8</t>
  </si>
  <si>
    <t>Carrier AC 3H Cool&amp;Heat Inverter New X Cool Internal Unit</t>
  </si>
  <si>
    <t>42QHEFT24N8</t>
  </si>
  <si>
    <t>Carrier AC 3H Cool&amp;Heat X Cool Internal Unit</t>
  </si>
  <si>
    <t>42QHET36DN-708F</t>
  </si>
  <si>
    <t>Internal Unit Carrier 5 HP Cool &amp; Heat Inverter 42QHET36DN-7</t>
  </si>
  <si>
    <t>Jumbo</t>
  </si>
  <si>
    <t>5202114420001</t>
  </si>
  <si>
    <t>ST-42 Wall Mount Fixed Steel , Size 14:43 Inch</t>
  </si>
  <si>
    <t>5202126550000</t>
  </si>
  <si>
    <t>ST-55 Wall Mount Fixed Steel Size 26:55 Inch</t>
  </si>
  <si>
    <t>55UR640S</t>
  </si>
  <si>
    <t>LG 55UR640S</t>
  </si>
  <si>
    <t>56F5U00</t>
  </si>
  <si>
    <t>Lexmark Black Ultra High Yield Toner 25k Series MS/MX 5/6 Pr</t>
  </si>
  <si>
    <t>Water Dispensers</t>
  </si>
  <si>
    <t>Nouval</t>
  </si>
  <si>
    <t>6223006560352</t>
  </si>
  <si>
    <t>Stainless steel water heaterSeparate water tankThree jets fo</t>
  </si>
  <si>
    <t>Hervy</t>
  </si>
  <si>
    <t>6223007910460</t>
  </si>
  <si>
    <t>Blender  2 Spice Grinders - 400 Watts - 220-240 Volts - 50-6</t>
  </si>
  <si>
    <t>Reciever</t>
  </si>
  <si>
    <t>OSN</t>
  </si>
  <si>
    <t>6254008422523</t>
  </si>
  <si>
    <t>OSN El Kul 12 Months</t>
  </si>
  <si>
    <t>6254008422578</t>
  </si>
  <si>
    <t>Humax Receiver -High Definitio</t>
  </si>
  <si>
    <t>65QNED85B6T</t>
  </si>
  <si>
    <t>65 inch LG QNED evo AI QNED85 Mini LED 4K Smart TV 2026</t>
  </si>
  <si>
    <t>Cables</t>
  </si>
  <si>
    <t>Power lock</t>
  </si>
  <si>
    <t>6772505085397</t>
  </si>
  <si>
    <t>HDMI top Link tb300 3m 4K</t>
  </si>
  <si>
    <t>Belkin</t>
  </si>
  <si>
    <t>745883712991</t>
  </si>
  <si>
    <t>Belkin HDMI To HDMI Audio Vide</t>
  </si>
  <si>
    <t>Chargers</t>
  </si>
  <si>
    <t>8806090986185</t>
  </si>
  <si>
    <t>Samsung Power Adapter Trio 65W PD</t>
  </si>
  <si>
    <t>8806092697294</t>
  </si>
  <si>
    <t>Samsung EP-T1510NBEGGB 15W PD USB-C Power Adapter Port 3 Pin</t>
  </si>
  <si>
    <t>8806092709874</t>
  </si>
  <si>
    <t>Samsung EP- T1510NBEGEU 15W Power Adapter USB-C Black</t>
  </si>
  <si>
    <t>8806095510064</t>
  </si>
  <si>
    <t>Samsung Power Adapter 45W PD With USB-C Cable</t>
  </si>
  <si>
    <t>Holder</t>
  </si>
  <si>
    <t>8806097349235-H</t>
  </si>
  <si>
    <t>Samsung Galaxy Buds Core SM-R410 Black</t>
  </si>
  <si>
    <t>8806097416296</t>
  </si>
  <si>
    <t>Samsung Galaxy Watch 8 44mm - Silver</t>
  </si>
  <si>
    <t>8806097416463</t>
  </si>
  <si>
    <t>Samsung Galaxy Watch 8 40mm - Dark Grey</t>
  </si>
  <si>
    <t>8806097618089</t>
  </si>
  <si>
    <t>Samsung Galaxy Buds 3 FSamsung Galaxy Buds 3 FE - BlackE - B</t>
  </si>
  <si>
    <t>Zanussi</t>
  </si>
  <si>
    <t>911516407</t>
  </si>
  <si>
    <t>Zanussi Dishwasher  60cm stainless  13 place 5 wash programs</t>
  </si>
  <si>
    <t>914909448</t>
  </si>
  <si>
    <t>Zanussi  Washing Machine Front Load  8KG DIGITAL 1200RPM  Da</t>
  </si>
  <si>
    <t>914909454</t>
  </si>
  <si>
    <t>Zanussi Washing Machine Front Load 8K 1200PRM  Silver Steam</t>
  </si>
  <si>
    <t>914909455</t>
  </si>
  <si>
    <t>Zanussi  WASHING MACHINE Front Load  8KG DIGITAL 1200RPM MUL</t>
  </si>
  <si>
    <t>914909456</t>
  </si>
  <si>
    <t>Zanussi Washing Machine Front Load 7K Inverter Silver ZWF722</t>
  </si>
  <si>
    <t>914909457</t>
  </si>
  <si>
    <t>ZANUSSI  WASHING MACHINE Front Load 7KG 1200RPM DIGITALZWF72</t>
  </si>
  <si>
    <t>914909458</t>
  </si>
  <si>
    <t>AUTOMATIC Washing Machine Digital 8KG Inverter 1200RPM ZWF82</t>
  </si>
  <si>
    <t>914909459</t>
  </si>
  <si>
    <t>ZANUSSI Front Load WASHING MACHINE  8KG 1200RPM DIGITAL INVE</t>
  </si>
  <si>
    <t>914909460</t>
  </si>
  <si>
    <t>ZANUSSI Front Load WASHING MACHINE 8KG 1200RPM DIGITAL INVER</t>
  </si>
  <si>
    <t>914909476</t>
  </si>
  <si>
    <t>Zanussi Washing Machine 9K Front Load Inverter SILVER Digita</t>
  </si>
  <si>
    <t>914909479</t>
  </si>
  <si>
    <t>Zanussi WASHING Front 10KG DIGITAL 1400RPM ,INVERTER SILVER</t>
  </si>
  <si>
    <t>922061016</t>
  </si>
  <si>
    <t>Zanussi Refrigerator 1 Door Super 11 FT 320L - Defrost Artic</t>
  </si>
  <si>
    <t>922061017</t>
  </si>
  <si>
    <t>Zanussi Refrigerator 1 Door Super 11 FT 320L - Defrost Black</t>
  </si>
  <si>
    <t>Cooker</t>
  </si>
  <si>
    <t>943006577</t>
  </si>
  <si>
    <t>Zanussi Cooker 90 Free Standing- Steel Plus - New Edition Fu</t>
  </si>
  <si>
    <t>943006580</t>
  </si>
  <si>
    <t>Zanussi  Cooker 90CM Cool Max New Edition  ZCG94396XB Hot Co</t>
  </si>
  <si>
    <t>945105400</t>
  </si>
  <si>
    <t>Electric Water Heater Zanussi Above the sink Square 15 Liter</t>
  </si>
  <si>
    <t>Olympic</t>
  </si>
  <si>
    <t>945105409</t>
  </si>
  <si>
    <t>Olympic Electric Water Heater Mechanical with knob - Hero 30</t>
  </si>
  <si>
    <t>945105411</t>
  </si>
  <si>
    <t>Olympic Electric Water Heater Mechanical with knob - Hero 50</t>
  </si>
  <si>
    <t>945105422</t>
  </si>
  <si>
    <t>Zanussi Electric Water Heater / Digital Control LED / 50 Lit</t>
  </si>
  <si>
    <t>945105567</t>
  </si>
  <si>
    <t>Gas Water Heater Zanussi Delta Digital 6 Liter Natural Disch</t>
  </si>
  <si>
    <t>945105570</t>
  </si>
  <si>
    <t>gas water heater 6 liters, silver - digital - without a chim</t>
  </si>
  <si>
    <t>945105580</t>
  </si>
  <si>
    <t>ELECTRIC GAS WATER HEATER DIGITAL 10 LITER WITH CHIMNEY WHIT</t>
  </si>
  <si>
    <t>Built in</t>
  </si>
  <si>
    <t>947727359</t>
  </si>
  <si>
    <t>Zanussi Built In Oven 90 CM - Full Safe - Gas - Gas grill -</t>
  </si>
  <si>
    <t>949493301</t>
  </si>
  <si>
    <t>Built In  Zanussi Gas Oven 60cm stainless steel, ZQENG1X1</t>
  </si>
  <si>
    <t>949493403</t>
  </si>
  <si>
    <t>Built In Zanussi Oven 60 cm - Gas - Grill Safety- Stainless</t>
  </si>
  <si>
    <t>949750936</t>
  </si>
  <si>
    <t>Zanussi Built In Hob 90  Cm - 5 Burners - Safe - Glass -Gas</t>
  </si>
  <si>
    <t>949750940</t>
  </si>
  <si>
    <t>Zanussi Gas Built-In Hob, 5 Burners, Stainless Steel- ZGH965</t>
  </si>
  <si>
    <t>956001824</t>
  </si>
  <si>
    <t>Fridge Zanussi  2 Door -Nofrost 445L Silver - Digital Displa</t>
  </si>
  <si>
    <t>956007246</t>
  </si>
  <si>
    <t>Zanussi Refrigerator 2 Door 463 L , Digital , Inverter , Sil</t>
  </si>
  <si>
    <t>LA Germenia</t>
  </si>
  <si>
    <t>9C10GRB1X4AWW</t>
  </si>
  <si>
    <t>LA GERMANIA Freestanding Cooke</t>
  </si>
  <si>
    <t>9G10GUB1X4AWW</t>
  </si>
  <si>
    <t>LA GERMANIA Cooker 90 x 60 - 5 Gas Burners Stainless</t>
  </si>
  <si>
    <t>9H10GLA1X4AWW</t>
  </si>
  <si>
    <t>LA GERMANIA Cooker 90 x 60 - 5 Gas Burners Stainless Safety</t>
  </si>
  <si>
    <t>9L10G4A1X4AWW</t>
  </si>
  <si>
    <t>LA GERMANIA Cooker 90 x 60 - 5 Gas Burners Stainless x Black</t>
  </si>
  <si>
    <t>9M10G4A1X4AWW</t>
  </si>
  <si>
    <t>Philips</t>
  </si>
  <si>
    <t>ACP625/01</t>
  </si>
  <si>
    <t>Stand Fan, 45 Watts, 3 Speeds, 5 Blades, Airflow Capacity 32</t>
  </si>
  <si>
    <t>Sharp</t>
  </si>
  <si>
    <t>AE-A12ZHE</t>
  </si>
  <si>
    <t>Sharp AC 1.5 H Cool &amp; Hot Digital Plazma External Unit</t>
  </si>
  <si>
    <t>AE-A24ZHE</t>
  </si>
  <si>
    <t>Sharp AC 3 HP Cool&amp;Heat Standard External Unit</t>
  </si>
  <si>
    <t>AE-X18BE</t>
  </si>
  <si>
    <t>Sharp AC 2.25 Cool&amp;Heat Inverter External Unit</t>
  </si>
  <si>
    <t>AE-X18UHE</t>
  </si>
  <si>
    <t>Sharp Air Conditioner 2.25HP C</t>
  </si>
  <si>
    <t>AE-X18YHE</t>
  </si>
  <si>
    <t>External Unit Sharp Ac 2.25HP Cool-Heat  Inverter - Egypt -</t>
  </si>
  <si>
    <t>AE-X24UHE</t>
  </si>
  <si>
    <t>Sharp Air Conditioner 3HP Cool</t>
  </si>
  <si>
    <t>AE-X30ZHT</t>
  </si>
  <si>
    <t>SHARP Split Air Conditioner 4 HP Cool - Heat Inverter Digita</t>
  </si>
  <si>
    <t>AE-X36ZHT</t>
  </si>
  <si>
    <t>SHARP Split Air Conditioner 5 HP Cool - Heat Inverter Digita</t>
  </si>
  <si>
    <t>TOSHIBA Midea</t>
  </si>
  <si>
    <t>AF-74CP1VREG-H</t>
  </si>
  <si>
    <t>Menu-Iq Progra, 12 Preset Menus, Rapid Air Circulation, Memo</t>
  </si>
  <si>
    <t>AF4002-W</t>
  </si>
  <si>
    <t>SARY AIRFRYER, 1500W, 4L, DIGITAL TOUCH, 8 PROGRAM, QUICK WI</t>
  </si>
  <si>
    <t>Speaker</t>
  </si>
  <si>
    <t>Platinum</t>
  </si>
  <si>
    <t>AH-12500</t>
  </si>
  <si>
    <t>Platinum Subwoofer equipped with Bluetooth technology - memo</t>
  </si>
  <si>
    <t>AH-8060</t>
  </si>
  <si>
    <t>Platinum Trolley Speaker 25W (RMS)</t>
  </si>
  <si>
    <t>AH-8650-MIC</t>
  </si>
  <si>
    <t>Platinum Trolley Speaker 60W (RMS) With Wirless Microphone</t>
  </si>
  <si>
    <t>Midea</t>
  </si>
  <si>
    <t>AM9P022VB</t>
  </si>
  <si>
    <t>25L Solo ,Inverter Quattro, Easy Clean Cavity,Tact&amp;Dial, 288</t>
  </si>
  <si>
    <t>ARZUM</t>
  </si>
  <si>
    <t>AR1032</t>
  </si>
  <si>
    <t>Arzum Portable Blender - 300 W</t>
  </si>
  <si>
    <t>Armadillo</t>
  </si>
  <si>
    <t>ARM-SDA-HMIX-WH-007</t>
  </si>
  <si>
    <t>Armadillo hand blender, 5 speeds - 500 watts - white</t>
  </si>
  <si>
    <t>Ariston</t>
  </si>
  <si>
    <t>ARR9 GGF 33229 XEG</t>
  </si>
  <si>
    <t>Ariston Cooker Gas   5 Burners Air Fryer Silver Digital- ARR</t>
  </si>
  <si>
    <t>ART70 F1422D XDI</t>
  </si>
  <si>
    <t>Ariston Refrigerator 420 Litre  No Frost Inverter  Dark Inox</t>
  </si>
  <si>
    <t>unionaire</t>
  </si>
  <si>
    <t>ARTI024HY50XWFRSGSER</t>
  </si>
  <si>
    <t>Unionaire 3 HP Cool&amp;Heat White Digital Internal Unit</t>
  </si>
  <si>
    <t>ARTO025HY5RWPKSGSER</t>
  </si>
  <si>
    <t>Unionaire 3 HP Cool&amp;Heat White Digital External Unit</t>
  </si>
  <si>
    <t>AU-X18UHE</t>
  </si>
  <si>
    <t>Sharp AC  2.25HP  cool inverte</t>
  </si>
  <si>
    <t>AURES M 9.5 EU</t>
  </si>
  <si>
    <t>Aures Slim Multi Instant Water Heater, 9.5 kW, Black and Whi</t>
  </si>
  <si>
    <t>AY-AP24ZHE</t>
  </si>
  <si>
    <t>Sharp AC 3 H Cool&amp;Heat Digital Internal Unit</t>
  </si>
  <si>
    <t>AY-X30ZHT</t>
  </si>
  <si>
    <t>AY-X36ZHT</t>
  </si>
  <si>
    <t>AY-XP12YHER</t>
  </si>
  <si>
    <t>Inernal Unit Sharp Ac 1.5 HP Cool-Heat Inverter - Red - Impo</t>
  </si>
  <si>
    <t>AY-XP12YHES</t>
  </si>
  <si>
    <t>Sharp Ac 1.5 HP Internal Unit Cool &amp; Heat Digital Inverter S</t>
  </si>
  <si>
    <t>AY-XP18BHE</t>
  </si>
  <si>
    <t>Sharp AC 2.25 Cool&amp;Heat Inverter Internal Unit</t>
  </si>
  <si>
    <t>AY-XP18BME</t>
  </si>
  <si>
    <t>AY-XP18UHE</t>
  </si>
  <si>
    <t>AY-XP18YHEB</t>
  </si>
  <si>
    <t>SHARP Split Air Conditioner 2.25 HP Cool - Heat Inverter Wit</t>
  </si>
  <si>
    <t>AY-XP24UHE</t>
  </si>
  <si>
    <t>Sharp Air Conditioner Inverter</t>
  </si>
  <si>
    <t>BENZ</t>
  </si>
  <si>
    <t>BAFB1104</t>
  </si>
  <si>
    <t>11L 5.5L  5.5L Digital Air Fryer with 2 Drawers, Vertical De</t>
  </si>
  <si>
    <t>BOSCH</t>
  </si>
  <si>
    <t>BCS711XXL</t>
  </si>
  <si>
    <t>Bosch BCS711XXL Cordless Vacuum Cleaner, 54 Watt, Rechargeab</t>
  </si>
  <si>
    <t>BGS21WPOW</t>
  </si>
  <si>
    <t>Series 4 Bagless vacuum cleaner Pro Power Black &amp;Red</t>
  </si>
  <si>
    <t>BGS412234</t>
  </si>
  <si>
    <t>Bosch Bagless vacuum cleaner,2200W  BGS412234</t>
  </si>
  <si>
    <t>Xiaomi</t>
  </si>
  <si>
    <t>BHR7357EU</t>
  </si>
  <si>
    <t>Xiaomi Smart Air Fryer 6.5L</t>
  </si>
  <si>
    <t>Beko</t>
  </si>
  <si>
    <t>BIE 120-OUT</t>
  </si>
  <si>
    <t>Beko AC 1.5 Cool &amp;Heat Inverter T3 Compressor - Golden Fin E</t>
  </si>
  <si>
    <t>BIE 121-IN</t>
  </si>
  <si>
    <t>Beko AC 1.5 Cool &amp;Heat Inverter T3 Compressor - Golden Fin I</t>
  </si>
  <si>
    <t>BIE 180</t>
  </si>
  <si>
    <t>Beko AC 2.25Cool&amp;Heat Inverter T3 Compressor - Golden Fin In</t>
  </si>
  <si>
    <t>BIE 181</t>
  </si>
  <si>
    <t>Beko AC 2.25Cool&amp;Heat Inverter T3 Compressor - Golden Fin Ex</t>
  </si>
  <si>
    <t>BIE 240</t>
  </si>
  <si>
    <t>Beko Split Air Conditioner 3 HP - Cool &amp; Heat - Inverter - S</t>
  </si>
  <si>
    <t>BIE 241</t>
  </si>
  <si>
    <t>Beko Split Air Conditioner 3 HP Outdoor Unit + Cantilever (N</t>
  </si>
  <si>
    <t>Mienta</t>
  </si>
  <si>
    <t>BL1291G</t>
  </si>
  <si>
    <t>700 Watt Blender - Capacity: 1.75 Liters - Attachment: Coffe</t>
  </si>
  <si>
    <t>BWD421PRO</t>
  </si>
  <si>
    <t>VACUUM CLEANER WET AND DRY 2100 WATT BAGLESS WHITE</t>
  </si>
  <si>
    <t>Beko 1.5HP Holder</t>
  </si>
  <si>
    <t>C69GSGC5112FICS2WPRO</t>
  </si>
  <si>
    <t>Unionaire Cooker 5Burners 90*60 Safety-hydraulic door- steel</t>
  </si>
  <si>
    <t>C69SS-DC-446-F-A</t>
  </si>
  <si>
    <t>Unionaire Cooker 5 Burners 90*60- Fan-HERO-stainless steel</t>
  </si>
  <si>
    <t>C69SSGC447IFMAX MAST</t>
  </si>
  <si>
    <t>Unionaire Cooker 90Cm 5 Burners Full Safety 10Y Warranty</t>
  </si>
  <si>
    <t>C69SSGC511ICPS2FGCF</t>
  </si>
  <si>
    <t>Unionaire Cooker 90 cm , safety -AutoCook, stainless Steel</t>
  </si>
  <si>
    <t>CAN46300933</t>
  </si>
  <si>
    <t>Carrier External Holder 3HP</t>
  </si>
  <si>
    <t>CAN46300936</t>
  </si>
  <si>
    <t>Carrier External Holder 1.5 &amp; 2.25 HP</t>
  </si>
  <si>
    <t>Freezer</t>
  </si>
  <si>
    <t>Passap</t>
  </si>
  <si>
    <t>CF241PASSISA</t>
  </si>
  <si>
    <t>Deep Freezer ES241L PASSAP Silver exterior - stainless inter</t>
  </si>
  <si>
    <t>CF335PASSISAPro</t>
  </si>
  <si>
    <t>Propass Freezer Silver-Sunsteel -ES335 - Horizontal Deep</t>
  </si>
  <si>
    <t>Tornado</t>
  </si>
  <si>
    <t>CJ-30T</t>
  </si>
  <si>
    <t>TORNADO Citrus Juicer 30 Watt and 1 Litre Capacity in Black</t>
  </si>
  <si>
    <t>Sokany</t>
  </si>
  <si>
    <t>CX-6651W</t>
  </si>
  <si>
    <t>800 Watts 5-speed control settings with Turbo boost button D</t>
  </si>
  <si>
    <t>Magic</t>
  </si>
  <si>
    <t>Cabooly 3&amp;4&amp;5 HP</t>
  </si>
  <si>
    <t>Cabooly For AC 3&amp;4&amp;5 HP</t>
  </si>
  <si>
    <t>Cabooly 3HP</t>
  </si>
  <si>
    <t>Cabooly For AC 3HP</t>
  </si>
  <si>
    <t>CaboolyFor12K18K24K</t>
  </si>
  <si>
    <t>Cabooly For -12K-18K-24K</t>
  </si>
  <si>
    <t>Can46300938</t>
  </si>
  <si>
    <t>Cariier External Holder 4HP &amp; 5HP</t>
  </si>
  <si>
    <t>Cartage 1 STG+Bundel</t>
  </si>
  <si>
    <t>Cartage</t>
  </si>
  <si>
    <t>DB97-14334 H</t>
  </si>
  <si>
    <t>ASSY ACCESSORY Kit for  12 &amp;18</t>
  </si>
  <si>
    <t>DFC287HMS</t>
  </si>
  <si>
    <t>LG Dishwasher 14 Places 60cm QuadWash -Heat Dry Black DFC287</t>
  </si>
  <si>
    <t>DFC287HVS</t>
  </si>
  <si>
    <t>LG Dishwasher 60cm 14 Place 8 Programs ThinQ Digital Silver</t>
  </si>
  <si>
    <t>DFC435FP</t>
  </si>
  <si>
    <t>LG Dishwasher 60cm /10 Programs /Inverter Direct Drive Motor</t>
  </si>
  <si>
    <t>DFC513FVE</t>
  </si>
  <si>
    <t>LG  Dishwashers 14 Persons Inverter Motor Prime Silver - DFC</t>
  </si>
  <si>
    <t>DFN436X</t>
  </si>
  <si>
    <t>Ariston Dishwasher 60 CM 13 Person 8 Programme Disgital</t>
  </si>
  <si>
    <t>DFN856XQ</t>
  </si>
  <si>
    <t>Ariston Dishwasher 60 cm 15 Place Settings Inverter Digital</t>
  </si>
  <si>
    <t>PHILIPS</t>
  </si>
  <si>
    <t>DST2010/20</t>
  </si>
  <si>
    <t>2000 Series Steam Iron, 2000 Watt, 250 ml, Blue</t>
  </si>
  <si>
    <t>Karcher</t>
  </si>
  <si>
    <t>DVAC 2200 EXP</t>
  </si>
  <si>
    <t>K?rcher DVAC 2200 Barrel Vacuum Cleaner ? 2200 Watt Power ?</t>
  </si>
  <si>
    <t>DW-13F8AF(SS)-EG</t>
  </si>
  <si>
    <t>Toshiba  Dishwasher 13 Persons, Freestanding , 598mm,  Silve</t>
  </si>
  <si>
    <t>White Whale</t>
  </si>
  <si>
    <t>DW-1595VB</t>
  </si>
  <si>
    <t>White Whale Dishwasher 15 Person Digital Black 9 Programmes</t>
  </si>
  <si>
    <t>DW-1595VSS</t>
  </si>
  <si>
    <t>White Whale Dishwasher 60 CM 15 Person Digital Steam Turkish</t>
  </si>
  <si>
    <t>DW-15F6AF-G-EG</t>
  </si>
  <si>
    <t>Toshiba Midea Dishwasher 15 Persons,Inverter motor, Digital,</t>
  </si>
  <si>
    <t>DWB95BC50T</t>
  </si>
  <si>
    <t>Bosch Built-in Hood, 90cm 616m3/h 3 Speeds Stainless Steel</t>
  </si>
  <si>
    <t>Digital Feram/LOC</t>
  </si>
  <si>
    <t>Digital Feram</t>
  </si>
  <si>
    <t>EBR84124367</t>
  </si>
  <si>
    <t>PCB board outdoor Free-Stand 5 HP-36 K</t>
  </si>
  <si>
    <t>EC685BK</t>
  </si>
  <si>
    <t>Delonghi Pump Espresso Maker 15Bar 1300W    EC685.BK</t>
  </si>
  <si>
    <t>EC685M</t>
  </si>
  <si>
    <t>Delonghi Pump Espresso Maker 15Bar 1300W    EC685.M</t>
  </si>
  <si>
    <t>EC685R</t>
  </si>
  <si>
    <t>Delonghi Dedica Pump Espresso - Red EC</t>
  </si>
  <si>
    <t>EG9P022MX-B</t>
  </si>
  <si>
    <t>25l, Grill,Digital,900w, 1000W for Grill, Black with Mirror</t>
  </si>
  <si>
    <t>EM0P042MX-S</t>
  </si>
  <si>
    <t>32L, Solo,Digital,1000W, Silver with Mirror Door,6 Auto Menu</t>
  </si>
  <si>
    <t>ES-DP114KLE-G</t>
  </si>
  <si>
    <t>SHARP K-PRO Washing Machine Front Load Fully Automatic 11 Kg</t>
  </si>
  <si>
    <t>ES-FE752KLE-W</t>
  </si>
  <si>
    <t>SHARP Washing Machine Front Load K-PRO  Fully Automatic 7.5</t>
  </si>
  <si>
    <t>ES-FP132KLE-G</t>
  </si>
  <si>
    <t>SHARP K-PRO Washing Machine Front Load Fully Automatic 13 Kg</t>
  </si>
  <si>
    <t>ES-FS114KLE-G</t>
  </si>
  <si>
    <t>SHARP K-PRO Washing Machine  Front Load Fully Automatic 11 K</t>
  </si>
  <si>
    <t>ES-FS852KLE-G</t>
  </si>
  <si>
    <t>SHARP K-PRO Washing Machine  Front Load Fully Automatic 8.5</t>
  </si>
  <si>
    <t>EWH50-C310-V-P-R-3-P</t>
  </si>
  <si>
    <t>Unionaire Heat Electric Water Heater 50 Liter Promo EWH50C10</t>
  </si>
  <si>
    <t>HITACHI</t>
  </si>
  <si>
    <t>F-420EY2R</t>
  </si>
  <si>
    <t>HITACHI Deep Freezer Inverter Digital No Frost 8 Drawers 404</t>
  </si>
  <si>
    <t>F-ASD60EG-W</t>
  </si>
  <si>
    <t>TOSHIBA Stand Fan 16 -White-F-ASD60EGW-GTIN-6221284001512</t>
  </si>
  <si>
    <t>F-ASE50EG-K</t>
  </si>
  <si>
    <t>Toshiba Stand Fan 18-Inch 4 Plastic Blades 3 Speeds Black</t>
  </si>
  <si>
    <t>F-ASE60EG-K</t>
  </si>
  <si>
    <t>Toshiba Stand Fan 18-Inch 5 Plastic Blades 3 Speeds Black</t>
  </si>
  <si>
    <t>F0Z6DRP24</t>
  </si>
  <si>
    <t>LG Washing Machine Front Load 15K/8Dryer Stone Silver Invert</t>
  </si>
  <si>
    <t>F0Z6DYP24</t>
  </si>
  <si>
    <t>LG Wasing Machine Front Load 15K Essence Graphite Steam Turb</t>
  </si>
  <si>
    <t>F0Z8DRP24</t>
  </si>
  <si>
    <t>LG Washing Machine Front Load 20Kg /11KDryer Stanless Invert</t>
  </si>
  <si>
    <t>Nespresso</t>
  </si>
  <si>
    <t>F121-EU-WH-NE</t>
  </si>
  <si>
    <t>Nespresso lattissima One CoffeeMachine/milk 1 L 19 Bar 11Cap</t>
  </si>
  <si>
    <t>F4R5VGG2E</t>
  </si>
  <si>
    <t>LG Front Load Automatic Washing Machine 9 KG With 5KG Dryer,</t>
  </si>
  <si>
    <t>F4X5ERG24BN</t>
  </si>
  <si>
    <t>LG WASHING MACHINE 11/7K DRYER 1400RPM,AI,Inverter, New Viva</t>
  </si>
  <si>
    <t>F4X5EYG24</t>
  </si>
  <si>
    <t>LG Washing Machine Front Load 11kg Front Loading E- Graphite</t>
  </si>
  <si>
    <t>F4Y2QYG6P</t>
  </si>
  <si>
    <t>LG Washing MachineFront Load 7K 1400RPM, ThinQ Wi-Fi Platinu</t>
  </si>
  <si>
    <t>F4Y2TYGYP</t>
  </si>
  <si>
    <t>LG Washing Machine Front Load Inverter 8K Platinum Silver In</t>
  </si>
  <si>
    <t>F4Y2VYGYP</t>
  </si>
  <si>
    <t>LG Washing Machine Front Load 9K Platinum Silver Inverter Di</t>
  </si>
  <si>
    <t>F4Y2VYGYZ</t>
  </si>
  <si>
    <t>LG Washing Machine Front Load 9K Inverter Direct Drive Plati</t>
  </si>
  <si>
    <t>FC8293-BAG</t>
  </si>
  <si>
    <t>Bundle BAG with FC8293</t>
  </si>
  <si>
    <t>FDP65.880SI</t>
  </si>
  <si>
    <t>Kenwood Multipro Food Processor-1000 Watt- Silver</t>
  </si>
  <si>
    <t>FGV480PASBLD</t>
  </si>
  <si>
    <t>Passap Refrigerator FGV480 No-Frost , Black, Digital</t>
  </si>
  <si>
    <t>FGV480PASSID</t>
  </si>
  <si>
    <t>Passap  Refrigerator FGV480 No-Frost , Silver, Digital</t>
  </si>
  <si>
    <t>FGV500PASSID</t>
  </si>
  <si>
    <t>Passap Refrigerator FGV500 No-Frost , Silver, Digital</t>
  </si>
  <si>
    <t>FH1363/1BK</t>
  </si>
  <si>
    <t>MULTICOOKER FH1363/1BK- DELONGHI</t>
  </si>
  <si>
    <t>FOX</t>
  </si>
  <si>
    <t>FM-01</t>
  </si>
  <si>
    <t>Wall Mount 17-37</t>
  </si>
  <si>
    <t>FP-1000SG</t>
  </si>
  <si>
    <t>Tornado Food processor 1000W</t>
  </si>
  <si>
    <t>FP70</t>
  </si>
  <si>
    <t>Falcon  W.mount size 42:70-Fp70 Fixed</t>
  </si>
  <si>
    <t>CASTLE</t>
  </si>
  <si>
    <t>FR 1052 KB</t>
  </si>
  <si>
    <t>CASTLE Refrigerator Mini Bar 52 L Black  2.5 Feet</t>
  </si>
  <si>
    <t>Water Filter</t>
  </si>
  <si>
    <t>Tank</t>
  </si>
  <si>
    <t>FTL Tank Pro S</t>
  </si>
  <si>
    <t>Filter - 4 Purification Compact Functions</t>
  </si>
  <si>
    <t>Tefal</t>
  </si>
  <si>
    <t>FV5751E0</t>
  </si>
  <si>
    <t>Tefal Easygliss Plus Steam Iron, 2700 Watt, Blue Model FV575</t>
  </si>
  <si>
    <t>FWT1310PB1</t>
  </si>
  <si>
    <t>LG WashTower 13/10K DRYER 1400RPM,AI,Inverter, Black</t>
  </si>
  <si>
    <t>FWT20DBS</t>
  </si>
  <si>
    <t>LG WashTower 20K DRYER 1400RPM,AI,Inverter, Black</t>
  </si>
  <si>
    <t>FWT20DSS</t>
  </si>
  <si>
    <t>LG WashTower 20K DRYER 1400RPM,AI,Inverter, Silver</t>
  </si>
  <si>
    <t>FWT25WBS</t>
  </si>
  <si>
    <t>LG WashTower 25 Washing 1400RPM,AI,Inverter, Black</t>
  </si>
  <si>
    <t>FWT25WSS</t>
  </si>
  <si>
    <t>LG WashTower 25 Washing 1400RPM,AI,Inverter,Silver</t>
  </si>
  <si>
    <t>FX 3030</t>
  </si>
  <si>
    <t>Braun Food processor 600 Watt - 2 liter pot - mill - mixer</t>
  </si>
  <si>
    <t>Fairy 1621</t>
  </si>
  <si>
    <t>Dish Washing Cubes</t>
  </si>
  <si>
    <t>Fresh</t>
  </si>
  <si>
    <t>Fresh-50000234</t>
  </si>
  <si>
    <t>Fresh AC 1.5H Cool Only Turbo External Unit</t>
  </si>
  <si>
    <t>Fresh-50000250</t>
  </si>
  <si>
    <t>Fresh AC 1.5H Cool Only Turbo Internal Unit</t>
  </si>
  <si>
    <t>Fresh-500003409</t>
  </si>
  <si>
    <t>Fresh Washing Machine Single Tub 10 K Antibacterial   FWS100</t>
  </si>
  <si>
    <t>Fresh-50000375</t>
  </si>
  <si>
    <t>Fresh 2.25 Cool Only Smart Plazma Inverter External Unit</t>
  </si>
  <si>
    <t>Fresh-50000382</t>
  </si>
  <si>
    <t>Fresh 2.25 Cool Only Smart Plazma Inverter Internal Unit</t>
  </si>
  <si>
    <t>Fresh-500004558</t>
  </si>
  <si>
    <t>Stand Fan Shabah Remote 18 inch with remote control</t>
  </si>
  <si>
    <t>Fresh-500004910</t>
  </si>
  <si>
    <t>Fresh Carbony Filter- Fresh-500004910</t>
  </si>
  <si>
    <t>Fresh-500006363</t>
  </si>
  <si>
    <t>Fresh Ref Silver 12Feet-De fro</t>
  </si>
  <si>
    <t>Fresh-500009509</t>
  </si>
  <si>
    <t>Fresh AC 3H Cool Only Plazma Internal Unit</t>
  </si>
  <si>
    <t>Fresh-500009510</t>
  </si>
  <si>
    <t>Fresh AC 3H Cool Only Plazma External Unit</t>
  </si>
  <si>
    <t>Fresh-500011160</t>
  </si>
  <si>
    <t>Fresh Glass Kettle - Blue</t>
  </si>
  <si>
    <t>Fresh-500011568</t>
  </si>
  <si>
    <t>Fresh Instant Electric Water Heater 11 Kilo Watt</t>
  </si>
  <si>
    <t>Fresh-500011943</t>
  </si>
  <si>
    <t>Fresh 1.5 Hp External Unit Cool Only Turbo</t>
  </si>
  <si>
    <t>Fresh-500012250</t>
  </si>
  <si>
    <t>Fresh 1.5 Hp Internal Unit Cool Only Turbo</t>
  </si>
  <si>
    <t>Fresh-500012251</t>
  </si>
  <si>
    <t>Fresh Ac 2.25 Cool Turbo Internal Unit</t>
  </si>
  <si>
    <t>Fresh-500012253</t>
  </si>
  <si>
    <t>Fresh AC 2.25 Cool&amp;Heat Turbo Internal Unit</t>
  </si>
  <si>
    <t>Fresh-500012344</t>
  </si>
  <si>
    <t>Fresh AVC 3H Cool Only Plazma Turbo Internal Unit</t>
  </si>
  <si>
    <t>Fresh-500012346</t>
  </si>
  <si>
    <t>Fresh AVC 3H Cool Only Plazma Turbo External Unit</t>
  </si>
  <si>
    <t>Fresh-500013673</t>
  </si>
  <si>
    <t>Fresh Water Dispenser 2 Faucets -Black- Closed Cabin</t>
  </si>
  <si>
    <t>Fresh-500013777</t>
  </si>
  <si>
    <t>Inetrnal Unit 1.5HP Fresh Smart Inverter Cool &amp; Heat Plasma</t>
  </si>
  <si>
    <t>Fresh-500014343</t>
  </si>
  <si>
    <t>External Unit Fresh 1.5 HP Smart Inverter cool &amp; Heat Plazma</t>
  </si>
  <si>
    <t>Fresh-500015268</t>
  </si>
  <si>
    <t>Fresh Washing Machine Twin Tub Fantasia 6 Kg, with pump,2 mo</t>
  </si>
  <si>
    <t>Fresh-500015627</t>
  </si>
  <si>
    <t>Fresh AC Smart 2.25 InverterCool&amp;Hot Plasma cold and hot Int</t>
  </si>
  <si>
    <t>Fresh-500015628</t>
  </si>
  <si>
    <t>Fresh AC Smart 2.25 Inverter Cool&amp;Hot Plasma External Unit</t>
  </si>
  <si>
    <t>Fresh-500015661</t>
  </si>
  <si>
    <t>Fresh Music Stand Fan , 16 Inch , Black - 500015661</t>
  </si>
  <si>
    <t>Fresh-500016861</t>
  </si>
  <si>
    <t>Fresh AC 1.5 Cool Only Turbo Internal Unit</t>
  </si>
  <si>
    <t>Fresh-500016948</t>
  </si>
  <si>
    <t>Fresh Cooker Hummer 60 x 90 5 burners cooling stove stainles</t>
  </si>
  <si>
    <t>Fresh-500017728</t>
  </si>
  <si>
    <t>Fresh AC 1.5 Cool&amp;Heat Inverter Smart External Unit</t>
  </si>
  <si>
    <t>Fresh-500018662</t>
  </si>
  <si>
    <t>Fresh Water Dispenser 2 Faucets -Silver Closed Cabin</t>
  </si>
  <si>
    <t>Fresh-500018664</t>
  </si>
  <si>
    <t>Water Dispenser 2 Faucets -Black Closed Cabin</t>
  </si>
  <si>
    <t>Fresh-500019538</t>
  </si>
  <si>
    <t>Fresh Refregerator Mini Bar 90 Liters ,FMB-140 , Glass Black</t>
  </si>
  <si>
    <t>Fresh-500019719</t>
  </si>
  <si>
    <t>Fresh Built-in oven 60 Gas cooling fan stainless</t>
  </si>
  <si>
    <t>Fresh-500020803</t>
  </si>
  <si>
    <t>Fresh Refrigerator 369 Litre, No Frost  , Silver</t>
  </si>
  <si>
    <t>Fresh-500021018</t>
  </si>
  <si>
    <t>Fresh AC Smart Cool Only 3HP White External Unit SFW24C-IP-A</t>
  </si>
  <si>
    <t>Fresh-500021460</t>
  </si>
  <si>
    <t>Fresh Refrigerator ,Defrost 369L ,Black</t>
  </si>
  <si>
    <t>Fresh-500021565</t>
  </si>
  <si>
    <t>Fresh Built In Hob 90CM 5 Burners Stanless Full Safety</t>
  </si>
  <si>
    <t>Fresh-500022392</t>
  </si>
  <si>
    <t>Fresh Cooker Gas Plaza Plus 90 safety , Cast fan compani</t>
  </si>
  <si>
    <t>Fresh-50002252</t>
  </si>
  <si>
    <t>Fresh AC 1.5 Cool&amp;Heat Turbo Internal Unit</t>
  </si>
  <si>
    <t>Air Cooler</t>
  </si>
  <si>
    <t>Fresh-500023191</t>
  </si>
  <si>
    <t>Fresh FA-M82-IC Desert Air Cooler, 82 Liters - Light Grey</t>
  </si>
  <si>
    <t>GB-X24BME</t>
  </si>
  <si>
    <t>Sharp AC 3H Cool&amp;Heat Inverter Duct Internal Unit</t>
  </si>
  <si>
    <t>GC-B257KLJW</t>
  </si>
  <si>
    <t>LG Refrigerator 664L Inverter Silver LED Flat Door Smart Poc</t>
  </si>
  <si>
    <t>GC-X22FFQAB</t>
  </si>
  <si>
    <t>LG Refrigerator, 508L, Black Stainless Steel Inverter plumbi</t>
  </si>
  <si>
    <t>GCFB48FPLAM</t>
  </si>
  <si>
    <t>LG Refrigerator 502 L,4 Door , Inverter ,Digital,Wifi,Prime</t>
  </si>
  <si>
    <t>GE-X24BME</t>
  </si>
  <si>
    <t>Sharp AC 3H Cool&amp;Heat Inverter Duct External Unit</t>
  </si>
  <si>
    <t>GN-H722HFHL</t>
  </si>
  <si>
    <t>LG Refrigerator 506L Shiny Silver Smart Inverter LED Display</t>
  </si>
  <si>
    <t>GR-RT468WE-PMN 57</t>
  </si>
  <si>
    <t>Toshiba Midea Refrigerator 338 L  Inverter, Pure BIO LED li</t>
  </si>
  <si>
    <t>GR-RT624WE-PGN(72)</t>
  </si>
  <si>
    <t>Toshiba Midea Refrigerator 450 L Inverter,Airfall Cooling Sy</t>
  </si>
  <si>
    <t>GR-RT702WE-PMN(06)</t>
  </si>
  <si>
    <t>Toshiba Refrigerator 2D 535L Digital Inverter Morandi Grey G</t>
  </si>
  <si>
    <t>GR-RT702WE-PMN-57</t>
  </si>
  <si>
    <t>TOSHIBA Refrigerator 2D 535L Inverter Stary silver GR-RT702W</t>
  </si>
  <si>
    <t>GR-RU312WE-DMN(57)</t>
  </si>
  <si>
    <t>Toshiba Midea Freezer Upright 238L 7 Drawers Silver No Frost</t>
  </si>
  <si>
    <t>GR-RU364WE-PMN-57</t>
  </si>
  <si>
    <t>Toshiba Midea Freezer Upright 273L 8 Drawers,Digital Inverte</t>
  </si>
  <si>
    <t>GTF402SBAN</t>
  </si>
  <si>
    <t>LG Refrigerator 401 L 14 Feet Black Turkey Touch Display LED</t>
  </si>
  <si>
    <t>GTF402SVAN</t>
  </si>
  <si>
    <t>LG Refrigerator  401L 14 Feet Touch Display Turkey Multi-Air</t>
  </si>
  <si>
    <t>GTF522PSAN</t>
  </si>
  <si>
    <t>LG Refrigerator 523L Smart Inverter ,Turkey ,pet inox Mult ,</t>
  </si>
  <si>
    <t>GTF522PVAN</t>
  </si>
  <si>
    <t>GTF569PVAM</t>
  </si>
  <si>
    <t>LG Refrigerator 588L Smart Inverter Turkey New pet inox Mult</t>
  </si>
  <si>
    <t>GXJB18JBLRC</t>
  </si>
  <si>
    <t>LG Refrigerator 580 L,4 Door , Inverter ,Wifi,Platinum silve</t>
  </si>
  <si>
    <t>Hoover</t>
  </si>
  <si>
    <t>H3DP485TAMBRELA</t>
  </si>
  <si>
    <t>HOOVER Washing Machine Fully Automatic 8 Kg - 5 Kg Dryer Inv</t>
  </si>
  <si>
    <t>H3DPS485TAMBBELA</t>
  </si>
  <si>
    <t>Sandwich Maker</t>
  </si>
  <si>
    <t>HD2330/90</t>
  </si>
  <si>
    <t>Sandwich Maker - 750W, Nonstick Plates, On/Off Switch, Black</t>
  </si>
  <si>
    <t>HD2510/91</t>
  </si>
  <si>
    <t>toaster, 2 Slice Capacity, 6 Levels, Black</t>
  </si>
  <si>
    <t>HD9314/91</t>
  </si>
  <si>
    <t>1000 Series Electric Kettle, 1.7 Liter, 2200 Watt</t>
  </si>
  <si>
    <t>Small Appliance</t>
  </si>
  <si>
    <t>HD9350/90</t>
  </si>
  <si>
    <t>Philips Kettle 2200 Watt Stain</t>
  </si>
  <si>
    <t>HGL21F350</t>
  </si>
  <si>
    <t>Bosch built-in Gas oven Digital 60 cm 60 Liters stainless -</t>
  </si>
  <si>
    <t>HGP3I8W50S</t>
  </si>
  <si>
    <t>Bosch Cooker 90CM Full Safety Stanless Digital 5 Burners 2Fa</t>
  </si>
  <si>
    <t>HGV1F8Y50S</t>
  </si>
  <si>
    <t>Bosch Gas Cooker 90cm Series 2 Stainless Steel 5 burners, co</t>
  </si>
  <si>
    <t>HIMW 95226 SXEL</t>
  </si>
  <si>
    <t>Beko Built-In Gas Hob, 5 Burners, Silver - HIMW 95226 SXEL 9</t>
  </si>
  <si>
    <t>HIZ5G7W51S</t>
  </si>
  <si>
    <t>Bosch Series 8 Gas Cooker, 5 Burners, Silver - HIZ5G7W59S</t>
  </si>
  <si>
    <t>HJY5G7V61S</t>
  </si>
  <si>
    <t>Bosch Series 8 Gas Cooker, 5 BurnersWith Grill</t>
  </si>
  <si>
    <t>HLEC10TCER-ELA</t>
  </si>
  <si>
    <t>HOOVER Tumble Dryer Front Loading 10 Kg Black HLEC10TCEB-ELA</t>
  </si>
  <si>
    <t>HELLER</t>
  </si>
  <si>
    <t>HMBN-25G-BK</t>
  </si>
  <si>
    <t>HELLER Built-In Microwave Digital 25 Liter 900 Watt 8 Menus</t>
  </si>
  <si>
    <t>HMBN-25G-SL</t>
  </si>
  <si>
    <t>HMBN-34GC-BK</t>
  </si>
  <si>
    <t>HELLER Built-In Microwave Touch 34 Liter 1000 Watt 10 Menus</t>
  </si>
  <si>
    <t>HMBN-34GC-SL</t>
  </si>
  <si>
    <t>HELLER Built-In Microwave Digital 34 Liter 1000 Watt 10 Menu</t>
  </si>
  <si>
    <t>HNF54821</t>
  </si>
  <si>
    <t>HITACHI Dishwasher 15 Person 60 cm Inverter LED display 6 Pr</t>
  </si>
  <si>
    <t>Haier</t>
  </si>
  <si>
    <t>HSU-12KCRIC-OUT</t>
  </si>
  <si>
    <t>Haier Air Conditioner 1.5Cool Only Inverter HSU-12KCRIC, Whi</t>
  </si>
  <si>
    <t>HSU-12KCROCC-IN</t>
  </si>
  <si>
    <t>Haier Split Air Conditioner, 1.5 HP, Cooling Only Internal U</t>
  </si>
  <si>
    <t>HSU-12KCROCC-OUT</t>
  </si>
  <si>
    <t>Haier Split Air Conditioner, 1.5 HP, Cooling Only External U</t>
  </si>
  <si>
    <t>HSU-12KHROCC-IN</t>
  </si>
  <si>
    <t>Haier Air Conditioner 1.5 HP Cool&amp;Heat -HSU-12KHROCC, White</t>
  </si>
  <si>
    <t>HSU-12KHROCC-OUT</t>
  </si>
  <si>
    <t>HSU-18KHROCC-IN</t>
  </si>
  <si>
    <t>Haier AC 2.25 Cool&amp;Heat Smart  Cool - WhiteHSU-18KHROCC Inte</t>
  </si>
  <si>
    <t>HSU-18KHROCC-OUT</t>
  </si>
  <si>
    <t>HSU-24KHROCC-IN</t>
  </si>
  <si>
    <t>Haier AC 3H Cool&amp;Heat Smart Cool Internal Unit</t>
  </si>
  <si>
    <t>HSU-24KHROCC-OUT</t>
  </si>
  <si>
    <t>Haier AC 3H Cool&amp;Heat Smart Cool External Unit</t>
  </si>
  <si>
    <t>HW-B450F</t>
  </si>
  <si>
    <t>B-series Soundbar HW-B450F 2.1 ch Subwoofer</t>
  </si>
  <si>
    <t>HW-Q600H</t>
  </si>
  <si>
    <t>Q-series Soundbar HW-Q600H 3.1.2 ch Subwoofer 2026</t>
  </si>
  <si>
    <t>HW-Q800H</t>
  </si>
  <si>
    <t>Samsung Q-Series Soundbar with Wireless Subwoofer, Wireless</t>
  </si>
  <si>
    <t>Hyundai</t>
  </si>
  <si>
    <t>HYU-2107 S</t>
  </si>
  <si>
    <t>Hyundai Water Dispenser  Bottom Loading  Silver</t>
  </si>
  <si>
    <t>HYU-558</t>
  </si>
  <si>
    <t>Water dispenser hot/cold 0.5 Kilowatt / hour Top LoadingTop</t>
  </si>
  <si>
    <t>HYU-582S</t>
  </si>
  <si>
    <t>water dispenser Hot/Warm/Cold 0.5 Kilowatt / hour Top Loadin</t>
  </si>
  <si>
    <t>HYU-CC-2308A</t>
  </si>
  <si>
    <t>HYUNDAI VACCUM LEANER 2000 WATT-Bagless</t>
  </si>
  <si>
    <t>INVARTI012CY50XFRSGS</t>
  </si>
  <si>
    <t>UnionAire AC 1.5 Artify ooling Only, Inverter, Plasma -Inter</t>
  </si>
  <si>
    <t>INVARTI015CY50XFRSGS</t>
  </si>
  <si>
    <t>Unionaire Artify Inverte 2HP Cool Only White Digital Inter</t>
  </si>
  <si>
    <t>INVARTO012CY5RWPKSG</t>
  </si>
  <si>
    <t>INVARTO015CY5RWPKSGS</t>
  </si>
  <si>
    <t>Unionaire Artify Inverte 2 HP Cool Only White Digital Exter</t>
  </si>
  <si>
    <t>Installation Voucher</t>
  </si>
  <si>
    <t>Free Installation Voucher</t>
  </si>
  <si>
    <t>JB3010</t>
  </si>
  <si>
    <t>Braun Blender</t>
  </si>
  <si>
    <t>JSD20-10DHSN</t>
  </si>
  <si>
    <t>Gas Water Heater With Chimney, 10 Liters, White</t>
  </si>
  <si>
    <t>KGN39NLEE8</t>
  </si>
  <si>
    <t>Bosch  Refrigerator, 330 Liters 2 Doors NoFrost Digital Touc</t>
  </si>
  <si>
    <t>KGN55CIEE8</t>
  </si>
  <si>
    <t>Bosch Refrigerator 483L Bottom Freezer Series 4, Inox</t>
  </si>
  <si>
    <t>KGN56CX30U</t>
  </si>
  <si>
    <t>Bosch Refrigerator 559L Black stainless Bottom Freezer</t>
  </si>
  <si>
    <t>KGN56LB3E9</t>
  </si>
  <si>
    <t>Bosch Refrigerator 505 Liters, 2 Doors, Combi Door, Black Gl</t>
  </si>
  <si>
    <t>KGN76CI3E8</t>
  </si>
  <si>
    <t>Bosch Serie 4 Freestanding Refrigerator with Top Freezer 186</t>
  </si>
  <si>
    <t>KGN76CXEE8</t>
  </si>
  <si>
    <t>BOSCH Refrigerator 526L  Inverter Dark Grey No Frost</t>
  </si>
  <si>
    <t>Personal Care</t>
  </si>
  <si>
    <t>Kemei</t>
  </si>
  <si>
    <t>KM-802</t>
  </si>
  <si>
    <t>Kemei KM-802 Rechargeable Electric Shaver with LED Display H</t>
  </si>
  <si>
    <t>KSV36VL30U</t>
  </si>
  <si>
    <t>Bosch Twins Series 4 No Frost Refrigerator, 346 Liters, Stai</t>
  </si>
  <si>
    <t>Kitchen Appliance</t>
  </si>
  <si>
    <t>KVL4110S</t>
  </si>
  <si>
    <t>Kenwood KVL4110S Chef XL 1200</t>
  </si>
  <si>
    <t>Koldair</t>
  </si>
  <si>
    <t>Koldair Slim Black</t>
  </si>
  <si>
    <t>Koldair Slim Black 2-Tap Water Cooler</t>
  </si>
  <si>
    <t>LFC3C33WFX</t>
  </si>
  <si>
    <t>Ariston Dishwasher 14 Sets 7  programms LFC3C33WFX 60 CM</t>
  </si>
  <si>
    <t>LFC3O33WLTX</t>
  </si>
  <si>
    <t>ARISTON DISHWASHER 14 PERSONS 9 PROGRAMS 60 CM INOX LFC3O33W</t>
  </si>
  <si>
    <t>LS24F320GAUXEG</t>
  </si>
  <si>
    <t>Samsung Monitor 24 FHD 120Hz-LS24F320GAUXEG</t>
  </si>
  <si>
    <t>LS27F320GAUXEG</t>
  </si>
  <si>
    <t>Samsung Monitor 27 FHD 120Hz-LS27F320GAUXEG</t>
  </si>
  <si>
    <t>Embers</t>
  </si>
  <si>
    <t>LX55</t>
  </si>
  <si>
    <t>Embers TV Wall Mount ,Fixed  Size 26:65 Inch</t>
  </si>
  <si>
    <t>MAF671B0</t>
  </si>
  <si>
    <t>Bosch Series 6 Digital Air Fryer, 7.2 Liter, 1800 Watt, Blac</t>
  </si>
  <si>
    <t>MB408</t>
  </si>
  <si>
    <t>ETL W.mount size 42:85-OX550-MB408 Removable</t>
  </si>
  <si>
    <t>MCM3421M/Promo</t>
  </si>
  <si>
    <t>Bosch 800W Food Processor with Accessories, Silver x Black P</t>
  </si>
  <si>
    <t>MDRB424FGN46</t>
  </si>
  <si>
    <t>Midea Refrigerator Bottom Freezer 310 LNo Frost Digital Bru</t>
  </si>
  <si>
    <t>MDRU528FEN46</t>
  </si>
  <si>
    <t>Midea Freezer 5 Drawers, 392L Inverter Bru steel MDRU528FEN4</t>
  </si>
  <si>
    <t>MF-CN40D2-P</t>
  </si>
  <si>
    <t>Air Fryer Midea Air Fryer Promo Digital  4L Dual Cyclone Rap</t>
  </si>
  <si>
    <t>MG40DG5524ATGY-P</t>
  </si>
  <si>
    <t>microwave 40 Liter, Grill ,Black MDA Promo</t>
  </si>
  <si>
    <t>MGWH06-12MZNEG</t>
  </si>
  <si>
    <t>Midea Gas Digital Water Heater, 6 Liters, Silver</t>
  </si>
  <si>
    <t>MGWH10-20MDNEG</t>
  </si>
  <si>
    <t>Midea Gas Water Heater, 10 Liters, Grey</t>
  </si>
  <si>
    <t>ML3-EM36PFI-MB</t>
  </si>
  <si>
    <t>36L, Solo,Digital,1200W,Silver Mirror door Steel frame, Orig</t>
  </si>
  <si>
    <t>ML3-EM45PFI-MB</t>
  </si>
  <si>
    <t>45L, Solo,Digital,1200W,Silver Mirror door Steel frame, Orig</t>
  </si>
  <si>
    <t>MM720C2VR</t>
  </si>
  <si>
    <t>Solo Microwave (Standard heating and defrosting 20 Liters Po</t>
  </si>
  <si>
    <t>MMB6172B</t>
  </si>
  <si>
    <t>Series 4, Blender, VitaPower, 1200 W, Black</t>
  </si>
  <si>
    <t>MOEFT-18HDN8</t>
  </si>
  <si>
    <t>Midea AC 2.25  AI ECO MASTER Cool &amp;Heat  Inverter External</t>
  </si>
  <si>
    <t>MOM-C25BBE-BK</t>
  </si>
  <si>
    <t>Tornado Microwave 25Liter - 900Watt - Grill - Digital</t>
  </si>
  <si>
    <t>MOSEFT-12CN8</t>
  </si>
  <si>
    <t>Midea AC 1.5H Cool Only X Tream Pro External Unit</t>
  </si>
  <si>
    <t>MOSEFT-12HN8</t>
  </si>
  <si>
    <t>Midea AC 1.5H Cool&amp;Heat X Tream Pro External Unit</t>
  </si>
  <si>
    <t>MOSEFT-24CN8</t>
  </si>
  <si>
    <t>Midea AC 3 H Cool Only X Tream Pro External Unit</t>
  </si>
  <si>
    <t>MOSEFT-24HN8</t>
  </si>
  <si>
    <t>Midea AC3H Cool&amp;Heat X Tream Pro External Unit</t>
  </si>
  <si>
    <t>MQ5275</t>
  </si>
  <si>
    <t>Braun Hand Blender Multi Quick 5</t>
  </si>
  <si>
    <t>MQ7085</t>
  </si>
  <si>
    <t>Braun Hand Blender Multi Quick 7</t>
  </si>
  <si>
    <t>MQ9147X</t>
  </si>
  <si>
    <t>Braun Hand Blender 9</t>
  </si>
  <si>
    <t>MSCT-12HRNF-Q8</t>
  </si>
  <si>
    <t>Midea AC 1.5 Cool&amp;Heat Internal Unit</t>
  </si>
  <si>
    <t>MSEFT-12CRN8F</t>
  </si>
  <si>
    <t>Midea AC 1.5H Cool Only X Tream Pro Internal Unit</t>
  </si>
  <si>
    <t>MSEFT-12HRDN8F</t>
  </si>
  <si>
    <t>Midea AC 1.5 AI ECO MASTER Cool &amp;Heat  Inverter Internal Uni</t>
  </si>
  <si>
    <t>MSEFT-12HRN8F</t>
  </si>
  <si>
    <t>Midea AC 1.5H Cool&amp;Heat X Tream Pro Internal Unit</t>
  </si>
  <si>
    <t>MSEFT-18HRDN8</t>
  </si>
  <si>
    <t>Midea AC 2.25  AI ECO MASTER Cool &amp;Heat  Inverter Internal</t>
  </si>
  <si>
    <t>MSEFT-24CRN8F</t>
  </si>
  <si>
    <t>Midea AC 3 H Cool Only X Tream Pro Internal Unit</t>
  </si>
  <si>
    <t>MSEFT-24HRDN8F</t>
  </si>
  <si>
    <t>Midea AC 3H Cool&amp;Heat InverterAI Eco Master Internal Unit</t>
  </si>
  <si>
    <t>MSEFT-24HRN8F</t>
  </si>
  <si>
    <t>Midea AC3H Cool&amp;Heat X Tream Pro Internal Unit</t>
  </si>
  <si>
    <t>master</t>
  </si>
  <si>
    <t>MT-01</t>
  </si>
  <si>
    <t>Wall mount 17-37 fixed</t>
  </si>
  <si>
    <t>MT-02-Promo</t>
  </si>
  <si>
    <t>Wall Mount 26-55</t>
  </si>
  <si>
    <t>Kayan</t>
  </si>
  <si>
    <t>MT02</t>
  </si>
  <si>
    <t>Master MT03 TV Wall mount 32??to 55</t>
  </si>
  <si>
    <t>MW3-EG25PEI-BK</t>
  </si>
  <si>
    <t>25L, Grill,Digital,1000W, Black Mirror Door, Origin Inverter</t>
  </si>
  <si>
    <t>MW3-EM25PEI-BK</t>
  </si>
  <si>
    <t>25L, Solo,Digital,900W, Origin Inverter,ChefGrill, EasyMax C</t>
  </si>
  <si>
    <t>MWM30.BK</t>
  </si>
  <si>
    <t>Kenwood Microwave 30 Liter - Grill - Silver</t>
  </si>
  <si>
    <t>OCEAN</t>
  </si>
  <si>
    <t>MWO 279 DGCAN-P</t>
  </si>
  <si>
    <t>Ocean Microwave 26 Litre Black Digital  Convection power: 10</t>
  </si>
  <si>
    <t>MWOI349TCGAB</t>
  </si>
  <si>
    <t>Ocean Built-In Microwave with Grill &amp; Convection | 44L Large</t>
  </si>
  <si>
    <t>MWOI449TCGB</t>
  </si>
  <si>
    <t>Ocean Built-In Microwave with Grill &amp; Convection-Touch Contr</t>
  </si>
  <si>
    <t>MX-ST40F</t>
  </si>
  <si>
    <t>Sound Tower MX-ST40F 160 watts Party Speaker</t>
  </si>
  <si>
    <t>MX-ST50F</t>
  </si>
  <si>
    <t>Sound Tower ST50F Portable Party Speaker w/Built-in Battery,</t>
  </si>
  <si>
    <t>MX900/2</t>
  </si>
  <si>
    <t>Tornado Blender 250 Watt 1.5 L</t>
  </si>
  <si>
    <t>Moulinex 2017</t>
  </si>
  <si>
    <t>Moulinex Blender Sam2017</t>
  </si>
  <si>
    <t>NA130/09</t>
  </si>
  <si>
    <t>6.2 liters 1700 Watts Technology Rapid Air technology Functi</t>
  </si>
  <si>
    <t>NA230/00</t>
  </si>
  <si>
    <t>PHILIPS AIRFRYER  NA230/00 1700W, 6.2L, Black, Digital</t>
  </si>
  <si>
    <t>EGY BOX</t>
  </si>
  <si>
    <t>ND 4</t>
  </si>
  <si>
    <t>Laptop   Bag   Fit up to 15.6</t>
  </si>
  <si>
    <t>OCGR 9650-15 IC</t>
  </si>
  <si>
    <t>Ocean Cooker 90 cm Stainless Full Safety Fan Turkish</t>
  </si>
  <si>
    <t>OCGR 9650-17IP</t>
  </si>
  <si>
    <t>Ocean Cooker 5 Burners stainless cooking fan+1 cooling fan F</t>
  </si>
  <si>
    <t>ODCHR 94 BG CF</t>
  </si>
  <si>
    <t>Ocean Built In Hood 90CM Pyramid Black glass 115W 3-speed Li</t>
  </si>
  <si>
    <t>OEOF 68 I  TC</t>
  </si>
  <si>
    <t>Ocean  Electric Oven 60 cm Air Frayer TRAY  3 Touch Programm</t>
  </si>
  <si>
    <t>OGGHF 95 NI PRO SV</t>
  </si>
  <si>
    <t>Ocean Built in Gas Hob  90 cm,, 5 burners, black glass</t>
  </si>
  <si>
    <t>oraimo</t>
  </si>
  <si>
    <t>OH-AF510N</t>
  </si>
  <si>
    <t>visualization grill,frying pan designed with all metal, LED</t>
  </si>
  <si>
    <t>OHER32I</t>
  </si>
  <si>
    <t>Ocean Built In 30CM 2 Burners Electricity Stanless Full Saft</t>
  </si>
  <si>
    <t>OHGFR95IPROSV</t>
  </si>
  <si>
    <t>Ocean Built in Hob 90 cm stainless 5 burners Turkey</t>
  </si>
  <si>
    <t>OHGGR9401NPROSV</t>
  </si>
  <si>
    <t>Ocean Built in Hob black glass 90 cm 5 burners Full safety T</t>
  </si>
  <si>
    <t>Arzum okka</t>
  </si>
  <si>
    <t>OK001</t>
  </si>
  <si>
    <t>Okka Arzum Coffe Machine autom</t>
  </si>
  <si>
    <t>OK002</t>
  </si>
  <si>
    <t>Okka Arzum coffe machine autom</t>
  </si>
  <si>
    <t>OK0026-05</t>
  </si>
  <si>
    <t>Okka Rich Pro Turkish Coffee Machine ? 700W ? 8 Programs ? B</t>
  </si>
  <si>
    <t>OK0026-copper</t>
  </si>
  <si>
    <t>Turkish Rich Pro Turkish Coffee Maker, 700 Watt, 5 Cups, Cop</t>
  </si>
  <si>
    <t>OK0032-0400</t>
  </si>
  <si>
    <t>Espresso Solo M Semi-Automatic Espresso Machine</t>
  </si>
  <si>
    <t>OKKA0050-04</t>
  </si>
  <si>
    <t>Minio Turkish Coffee Maker ? 5 Cup Capacity ? 360 to 420 Wat</t>
  </si>
  <si>
    <t>OMO-521A</t>
  </si>
  <si>
    <t>Silent Inverter Technology ABSGlassAluminized Steel Rated Po</t>
  </si>
  <si>
    <t>Heater</t>
  </si>
  <si>
    <t>Black &amp; Decker</t>
  </si>
  <si>
    <t>OR011FD</t>
  </si>
  <si>
    <t>BLACK &amp;DECKER Oil Heater 11 fi</t>
  </si>
  <si>
    <t>PEARLA</t>
  </si>
  <si>
    <t>PR-3600</t>
  </si>
  <si>
    <t>36-Liter Electric Oven Suitable for preparing a variety of f</t>
  </si>
  <si>
    <t>PR-7000</t>
  </si>
  <si>
    <t>Electric Oven, 70L Capacity, 2500W Suitable for preparing a</t>
  </si>
  <si>
    <t>Palson</t>
  </si>
  <si>
    <t>Palson 30644</t>
  </si>
  <si>
    <t>Palson Icarus 30644 1400W 5L Air Fryer</t>
  </si>
  <si>
    <t>Q0490ASilver</t>
  </si>
  <si>
    <t>Instant Electrical Water Heater 9 K/Watt screen digital touc</t>
  </si>
  <si>
    <t>Q0490DWhite</t>
  </si>
  <si>
    <t>Q0912Black</t>
  </si>
  <si>
    <t>QA85QN80H</t>
  </si>
  <si>
    <t>SAMSUNG QLED TV 85INCH QN80H, QLED. Flat, smart, WIFI, NQ4 A</t>
  </si>
  <si>
    <t>QT2020E0</t>
  </si>
  <si>
    <t>Tefal IXEO Power, Garment Steamer, 90gmin, 200gmin ...</t>
  </si>
  <si>
    <t>R-250MGR-BK2</t>
  </si>
  <si>
    <t>Microwave Grill 25 Liter 900 Watt 8 Menus Black</t>
  </si>
  <si>
    <t>R-770AR-ST</t>
  </si>
  <si>
    <t>Microwave Grill 34 Liter 1000 Watt 9 Menus Stainless</t>
  </si>
  <si>
    <t>RB34T671FS9/MR-ES</t>
  </si>
  <si>
    <t>RBB-12</t>
  </si>
  <si>
    <t>Sharp Tubes AC 1.5 2.25</t>
  </si>
  <si>
    <t>RBB-V12/18-N</t>
  </si>
  <si>
    <t>Tubes For 1.5&amp;2.5</t>
  </si>
  <si>
    <t>RBB-V24-N</t>
  </si>
  <si>
    <t>Torando Tube 3H</t>
  </si>
  <si>
    <t>RBB12-18</t>
  </si>
  <si>
    <t>Sharp Ac 1.5&amp;2.25 Premium Acce</t>
  </si>
  <si>
    <t>RBB24</t>
  </si>
  <si>
    <t>Sharp Ac  3 cool premium Plus</t>
  </si>
  <si>
    <t>RBB30/36-X</t>
  </si>
  <si>
    <t>Sharp AC Tube 4&amp;5H</t>
  </si>
  <si>
    <t>RCC-F</t>
  </si>
  <si>
    <t>Sharp Ac External Holder 4 &amp; 5 HP</t>
  </si>
  <si>
    <t>RCC-N</t>
  </si>
  <si>
    <t>Sharp Ac External Holder</t>
  </si>
  <si>
    <t>RCC-RD12</t>
  </si>
  <si>
    <t>Sharp &amp; Tornado 1.5 Holder</t>
  </si>
  <si>
    <t>RCC-RD18/24</t>
  </si>
  <si>
    <t>Sharp Air Condition Holder RCC-RD18/24</t>
  </si>
  <si>
    <t>RCC-VH</t>
  </si>
  <si>
    <t>Hisense inverter Caboly RCC-VH</t>
  </si>
  <si>
    <t>RCNE720E20DZXP</t>
  </si>
  <si>
    <t>Beko Refrigerator 2 Doors - 620 Liter Net - No Frost - Touch</t>
  </si>
  <si>
    <t>RD-350VVA-DAH</t>
  </si>
  <si>
    <t>Unionaire Refrigerator 350 litre DE Frost  digital-Silver</t>
  </si>
  <si>
    <t>RF-3MT F 3/8,1/4</t>
  </si>
  <si>
    <t>carrier  3 Meter Tubes RF-3MT F 3/8,1/4</t>
  </si>
  <si>
    <t>RF-3MT-F 5/8 &amp; 3/8</t>
  </si>
  <si>
    <t>3 M Tubes - Carries Ac RF-3MT-F 5/8 &amp; 3/8</t>
  </si>
  <si>
    <t>RF-4MT F3/4  &amp; 3/8</t>
  </si>
  <si>
    <t>4 M Tubes Carrier RF-4MT F3/4  &amp; 3/8</t>
  </si>
  <si>
    <t>RF-4MT-F 5/8 &amp; 3/8</t>
  </si>
  <si>
    <t>4 M Tubes Carrier RF-4MT-F 5/8 &amp; 3/8</t>
  </si>
  <si>
    <t>Dryers</t>
  </si>
  <si>
    <t>RH10X54V2NP</t>
  </si>
  <si>
    <t>LG Dryer 10.1 Kg  DUAL Digital Inverter Heat Pump ThinQ Stai</t>
  </si>
  <si>
    <t>RLA2-90MG5GE-MG-EG</t>
  </si>
  <si>
    <t>Toshiba Midea Cooker Gas 90CM-2 Fans- Full Safety ,Digital,</t>
  </si>
  <si>
    <t>RLA2-90MG5GE-MG-EM</t>
  </si>
  <si>
    <t>Toshiba Midea Cooker Gas 90CM-Fan- Full Safety ,Digital, ,Ti</t>
  </si>
  <si>
    <t>RS-090VVA-DH</t>
  </si>
  <si>
    <t>unionaire Ref Mini Bar 7.5 Feet Silver Defrost</t>
  </si>
  <si>
    <t>RS70F65QAFMR</t>
  </si>
  <si>
    <t>Samsung Refrigerator 640L  ,SBS Mono, Coling AI Inverter Com</t>
  </si>
  <si>
    <t>RS70F65QATMR</t>
  </si>
  <si>
    <t>RUBIS 15 VEG</t>
  </si>
  <si>
    <t>Electric Water Heater 15 Liters Slim White RUBIS PRO15VEG</t>
  </si>
  <si>
    <t>RUBIS 30 V EG</t>
  </si>
  <si>
    <t>Electric Water Heater 30 Liters RUBIS</t>
  </si>
  <si>
    <t>RUBIS 50 V EG</t>
  </si>
  <si>
    <t>Electric Water Heater 50 Liters RUBIS</t>
  </si>
  <si>
    <t>RUBIS 80 VEG</t>
  </si>
  <si>
    <t>Electric Water Heater 80 Liters RUBIS</t>
  </si>
  <si>
    <t>Rubis Pro 50 HEG</t>
  </si>
  <si>
    <t>RUBIS PRO 50 H EG Electric Water Heater ? 50 Liters ? Horizo</t>
  </si>
  <si>
    <t>Rubis Pro 80 HEG</t>
  </si>
  <si>
    <t>RUBIS PRO 80 H EG Electric Water Heater, 80 Liters - White</t>
  </si>
  <si>
    <t>S4NC12RZAAA-IN</t>
  </si>
  <si>
    <t>LG AC 1.5 HP Cool Only White S4-C12RZAAA Internal Unit</t>
  </si>
  <si>
    <t>S4NC18RZAAA-IN</t>
  </si>
  <si>
    <t>LG AC  2.25 HP Cool Only White- S4-C18RZAAA Internal Unit</t>
  </si>
  <si>
    <t>S4NH12RZAAA-IN</t>
  </si>
  <si>
    <t>LG AC 1.5 HP, Cool&amp;Heat White S4-H12RZAAA Internal Unit</t>
  </si>
  <si>
    <t>S4NH12TZAAE-In</t>
  </si>
  <si>
    <t>LG Air Condition 1.5 HP Cool&amp;Heat Hero Internal Unit</t>
  </si>
  <si>
    <t>S4NH18RZAAA-IN</t>
  </si>
  <si>
    <t>LG AC 2.25 HP, Cooling &amp; Heating, White- S4-H18RZAAA Interna</t>
  </si>
  <si>
    <t>S4NQ12JA2MC-IN</t>
  </si>
  <si>
    <t>LG AC1.5 HP Cool only Dual Inverter -WIF -White Internal Uni</t>
  </si>
  <si>
    <t>S4NQ12JA3AE-IN</t>
  </si>
  <si>
    <t>LG AC Dual Inverter 1.5 HP Cool Only Internal Unit White</t>
  </si>
  <si>
    <t>S4NQ12RZACA-IN</t>
  </si>
  <si>
    <t>LG AC 1.5H Cool Only Inverter Plazma Internal Unit</t>
  </si>
  <si>
    <t>S4NQ18KL2MD-IN</t>
  </si>
  <si>
    <t>LG AC 2.25 HP-Cool only Dual Inverter-WIFI-White Internal Un</t>
  </si>
  <si>
    <t>S4NQ18KL3AD-IN</t>
  </si>
  <si>
    <t>LG AC 2.25 HP-Cool only Dual Inverter - WhiteIntenal Unit</t>
  </si>
  <si>
    <t>S4NW12JA2MA-IN</t>
  </si>
  <si>
    <t>LG AC 1.5 HP-Cool&amp;Heat Dual Inverter-Wifi-White Internal Uni</t>
  </si>
  <si>
    <t>S4NW12JA3AE-IN</t>
  </si>
  <si>
    <t>LG AC Dual Inverter 1.5 HP Cool&amp;Heat Internal White</t>
  </si>
  <si>
    <t>S4NW12JARMA-IN</t>
  </si>
  <si>
    <t>LG AC 1.5 HP -Cool&amp;Heat Dual Inverter -ARTCOOL Design Intern</t>
  </si>
  <si>
    <t>S4NW18KL2MA-IN</t>
  </si>
  <si>
    <t>LG AC 2.25 HP -Cool&amp;Heat Dual Inverter- Wifi - White Interna</t>
  </si>
  <si>
    <t>S4NW18KLRMA-In</t>
  </si>
  <si>
    <t>LG AC 2.25 Cool&amp;Heat Art Cool Plazma WiFi  Internal Unit</t>
  </si>
  <si>
    <t>S4NW24K22ME-IN</t>
  </si>
  <si>
    <t>LG AC 3 HP-Cool&amp;Heat Dual Inverter-Wifi-White Internal Unit</t>
  </si>
  <si>
    <t>S4NW24K2RME-IN</t>
  </si>
  <si>
    <t>LG AC 3 HP Cool&amp;Heat Dual Inverter- ARTCOOL Design Internal</t>
  </si>
  <si>
    <t>S4NW30R43EA</t>
  </si>
  <si>
    <t>LG Hi wall 30,000 BTU Inverter Indoor</t>
  </si>
  <si>
    <t>S4NW36R43EA</t>
  </si>
  <si>
    <t>LG Hi Wall Indoor 5 HP Inverter Big Series</t>
  </si>
  <si>
    <t>S4UC12RZAAA-OUT</t>
  </si>
  <si>
    <t>LG AC 1.5 HP Cool Only White S4-C12RZAAA External Unit</t>
  </si>
  <si>
    <t>S4UC18RZAAA-OUT</t>
  </si>
  <si>
    <t>LG AC  2.25 HP Cool Only White- S4-C18RZAAA External Unit</t>
  </si>
  <si>
    <t>S4UH12RZAAA-OUT</t>
  </si>
  <si>
    <t>S4UH18RZAAA-Out</t>
  </si>
  <si>
    <t>LG AC 2.25 HP, Cooling &amp; Heating, White- S4-H18RZAAA Externa</t>
  </si>
  <si>
    <t>S4UQ12JA2MC-OUT</t>
  </si>
  <si>
    <t>LG AC1.5 HP Cool only Dual Inverter -WIF -White External Uni</t>
  </si>
  <si>
    <t>S4UQ12JA3AE-OUT</t>
  </si>
  <si>
    <t>LG AC Dual Inverter 1.5 HP Cool Only External Unit White</t>
  </si>
  <si>
    <t>S4UQ12RZACA-OUT</t>
  </si>
  <si>
    <t>LG AC 1.5 H Cool Only Inverter plazma Hero External Unit</t>
  </si>
  <si>
    <t>S4UQ18KL2MD-OUT</t>
  </si>
  <si>
    <t>LG AC 2.25 HP-Cool only Dual Inverter-WIFI-White External Un</t>
  </si>
  <si>
    <t>S4UQ18KL3AD-OUT</t>
  </si>
  <si>
    <t>LG AC 2.25 HP-Cool only Dual Inverter - White External Unit</t>
  </si>
  <si>
    <t>S4UW12JA2MA-OUT</t>
  </si>
  <si>
    <t>LG AC 1.5 HP-Cool&amp;Heat Dual Inverter-Wifi-White External Uni</t>
  </si>
  <si>
    <t>S4UW12JARMA-OUT</t>
  </si>
  <si>
    <t>LG AC 1.5 HP - Cool&amp;Heat Dual Inverter-ARTCOOL Design Extern</t>
  </si>
  <si>
    <t>S4UW18KL2MA-OUT</t>
  </si>
  <si>
    <t>LG AC 2.25 HP -Cool&amp;Heat Dual Inverter - Wifi - White Extern</t>
  </si>
  <si>
    <t>S4UW18KLRMA-Out</t>
  </si>
  <si>
    <t>LG AC 2.25 Cool&amp;Heat Art Cool Plazma WiFi  External Unit</t>
  </si>
  <si>
    <t>S4UW24K22ME-OUT</t>
  </si>
  <si>
    <t>LG AC 3 HP-Cool&amp;Heat Dual Inverter-Wifi-WhiteExternal Unit</t>
  </si>
  <si>
    <t>S4UW24K23AE-Out</t>
  </si>
  <si>
    <t>LG AC 3 H Cool&amp;Heat  Dual Inverter STD External Unit</t>
  </si>
  <si>
    <t>S4UW24K2RME-OUT</t>
  </si>
  <si>
    <t>LG AC 3 HP Cool&amp;Heat Dual Inverter- ARTCOOL Design External</t>
  </si>
  <si>
    <t>S4UW30R43EA</t>
  </si>
  <si>
    <t>LG Hi wall 30,000 BTU Inverter Outdoor</t>
  </si>
  <si>
    <t>S4UW36R43EA</t>
  </si>
  <si>
    <t>LG Hi Wall Outdoor 5 HP Inverter Big Series</t>
  </si>
  <si>
    <t>Power Strip</t>
  </si>
  <si>
    <t>Cyberpower</t>
  </si>
  <si>
    <t>SB0502BA</t>
  </si>
  <si>
    <t>5 Ports - 5 M - Power button</t>
  </si>
  <si>
    <t>SC4Easy Fix IronKit</t>
  </si>
  <si>
    <t>K?rcher SC 4 EasyFix Steam Cleaner, Steam Pressure: 3.5 bar,</t>
  </si>
  <si>
    <t>Flash Memory</t>
  </si>
  <si>
    <t>Sandisk</t>
  </si>
  <si>
    <t>SDCZ73-032G-G46</t>
  </si>
  <si>
    <t>SanDisk Flash Memory SDCZ73-032G, Ultra Flair USB 3</t>
  </si>
  <si>
    <t>Panasonic</t>
  </si>
  <si>
    <t>SDM-WD3238TF</t>
  </si>
  <si>
    <t>Cold-Hot- Normal water\Cabin 20L</t>
  </si>
  <si>
    <t>Sonifer</t>
  </si>
  <si>
    <t>SF-2257S</t>
  </si>
  <si>
    <t>SONIFER Electric 10in1 Multifunctional Spin Steam Mop 1500W</t>
  </si>
  <si>
    <t>SF18-R</t>
  </si>
  <si>
    <t>Skyline Jet Stand Fan , 18 Inch , Black-remote</t>
  </si>
  <si>
    <t>SJ-PV73K-BK</t>
  </si>
  <si>
    <t>SHARP Fridge Inverter Digital, Bottom Freezer, 558 L , Black</t>
  </si>
  <si>
    <t>SJ-PV73K-DST</t>
  </si>
  <si>
    <t>Sharp Refrigerator Inverter 558 Liters, Hybrid Plasma Digita</t>
  </si>
  <si>
    <t>SK-03062N</t>
  </si>
  <si>
    <t>2In1 Countertop Blender, 1.5 Liter, 800 Watt, Black Silver</t>
  </si>
  <si>
    <t>SK-03072</t>
  </si>
  <si>
    <t>2.5 Liters  1000 Watts 3-in-1 System: Stainless steel blende</t>
  </si>
  <si>
    <t>SK-03093</t>
  </si>
  <si>
    <t>2 Liters  2500 Watts Digital screen control panel Dual-funct</t>
  </si>
  <si>
    <t>SK-04041</t>
  </si>
  <si>
    <t>Sokany 3-in-1 Espresso Machine 1.8L 1800W 20Bar</t>
  </si>
  <si>
    <t>SK-04046</t>
  </si>
  <si>
    <t>Sokany 4-in-1 Espresso Machine 2.6L 2800W 20Bar</t>
  </si>
  <si>
    <t>SK-07073</t>
  </si>
  <si>
    <t>Sokany Digital Induction Cooker 3500W</t>
  </si>
  <si>
    <t>SK-09008</t>
  </si>
  <si>
    <t>Sokany Decorative Electric Kettle 1.5L 1000W</t>
  </si>
  <si>
    <t>SK-09034</t>
  </si>
  <si>
    <t>Sokany Glass Electric Kettle 1800W  Model: SK-09034</t>
  </si>
  <si>
    <t>SK-09034N</t>
  </si>
  <si>
    <t>1.8 Liters  1800 Watts Heat-resistant borosilicate glass bod</t>
  </si>
  <si>
    <t>SK-09104</t>
  </si>
  <si>
    <t>1350 Watts Integrated water dispenser and tea/coffee kettle</t>
  </si>
  <si>
    <t>SK-09110</t>
  </si>
  <si>
    <t>1.7 Liters  2200 Watts Color: Red 360-degree cordless swivel</t>
  </si>
  <si>
    <t>SK-09111</t>
  </si>
  <si>
    <t>1.7 Liters  2200 Watts Color: White 360-degree cordless swiv</t>
  </si>
  <si>
    <t>SK-09112</t>
  </si>
  <si>
    <t>1.7 Liters  2200 Watts Color: Black 360-degree cordless swiv</t>
  </si>
  <si>
    <t>SK-11063</t>
  </si>
  <si>
    <t>Water Tank  2.9 Liters  6000 Watts high output Digital temp/</t>
  </si>
  <si>
    <t>SK-11072</t>
  </si>
  <si>
    <t>Water Tank  180 ml  1550 Watts Built-in suction technology f</t>
  </si>
  <si>
    <t>SK-13062</t>
  </si>
  <si>
    <t>2000 Watts 10-in-1 Versatility: Floor cleaner, handheld stea</t>
  </si>
  <si>
    <t>SK-13082-S</t>
  </si>
  <si>
    <t>Sokany 8-in-1 Steam Cleaner, 1500ml, 3500W</t>
  </si>
  <si>
    <t>SK-13084</t>
  </si>
  <si>
    <t>Sokany Carpet Washer/2.6 Water Tank/Twin Tank/Double Roller</t>
  </si>
  <si>
    <t>SK-13089</t>
  </si>
  <si>
    <t>Sokany Steam Mop 1800W</t>
  </si>
  <si>
    <t>SK-13098</t>
  </si>
  <si>
    <t>Sokany Digital Steam Cleaner 1350W</t>
  </si>
  <si>
    <t>SK-14028</t>
  </si>
  <si>
    <t>Sokany Hair Styling and Dryer Kit</t>
  </si>
  <si>
    <t>SK-14040</t>
  </si>
  <si>
    <t>Sokany Professional High-Power Hair Dryer</t>
  </si>
  <si>
    <t>SK-15006</t>
  </si>
  <si>
    <t>Sokany 2-in-1 Rotating Hair Dryer Brush 1200W</t>
  </si>
  <si>
    <t>SK-15023</t>
  </si>
  <si>
    <t>Sokany 4-in-1 Hot Air Comb and Styler</t>
  </si>
  <si>
    <t>SK-16052</t>
  </si>
  <si>
    <t>Smoothing Shaver ? Men's Trimmer ? Dry &amp; Wet Use with 4 Comb</t>
  </si>
  <si>
    <t>SK-16065</t>
  </si>
  <si>
    <t>Sokany T-Blade Professional Detail Trimmer</t>
  </si>
  <si>
    <t>SK-17011</t>
  </si>
  <si>
    <t>Women's Hair Removal Machine - Multifunctional 6 in 1: Gives</t>
  </si>
  <si>
    <t>SK-17021</t>
  </si>
  <si>
    <t>Sokany Electric Hair Straightener Brush</t>
  </si>
  <si>
    <t>SK-17023</t>
  </si>
  <si>
    <t>Sokany Hair Straightener and Styling Styler</t>
  </si>
  <si>
    <t>SK-19105</t>
  </si>
  <si>
    <t>Sokany Stand Fan 16 Inch</t>
  </si>
  <si>
    <t>SK-19105-S</t>
  </si>
  <si>
    <t>Sokany Stand Fan, 16 Inch</t>
  </si>
  <si>
    <t>SK-19107</t>
  </si>
  <si>
    <t>Sokany Stand Fan, 18 Inch</t>
  </si>
  <si>
    <t>SK-19107-S</t>
  </si>
  <si>
    <t>SK-19108</t>
  </si>
  <si>
    <t>Sokany Stand Fan with Remote 18 Inch</t>
  </si>
  <si>
    <t>SK-19108-S</t>
  </si>
  <si>
    <t>Sokany Stand Fan with Remote Control, 18 Inch</t>
  </si>
  <si>
    <t>SK-201A</t>
  </si>
  <si>
    <t>Sokany Rechargeable Coffee Frother</t>
  </si>
  <si>
    <t>SK-214</t>
  </si>
  <si>
    <t>Sokany Stainless Steel Coffee Maker / Kettle</t>
  </si>
  <si>
    <t>SK-2403</t>
  </si>
  <si>
    <t>Sokany Pressure Cooker 9L 1200W</t>
  </si>
  <si>
    <t>SK-2404</t>
  </si>
  <si>
    <t>Sokany Pressure Cooker 13L 1600W</t>
  </si>
  <si>
    <t>Meat Mincer</t>
  </si>
  <si>
    <t>SK-312N</t>
  </si>
  <si>
    <t>2500 Watts max locked motor Heavy-duty metal gearbox &amp; stain</t>
  </si>
  <si>
    <t>SK-3333</t>
  </si>
  <si>
    <t>Sokany Stainless Steel 3-in-1 Blender, 6600W, 3L</t>
  </si>
  <si>
    <t>SK-4007N</t>
  </si>
  <si>
    <t>Water Tank  2.2 Liters  2200 Watts Vertical standing design</t>
  </si>
  <si>
    <t>SK-6580</t>
  </si>
  <si>
    <t>Sokany Rechargeable Men's Shaver</t>
  </si>
  <si>
    <t>SK-666666B</t>
  </si>
  <si>
    <t>Sokany Chopper 10L Stainless Steel 2000W + 1 Blade</t>
  </si>
  <si>
    <t>SK-7011N</t>
  </si>
  <si>
    <t>Sokany Stainless Steel Chopper, 3L, 800W</t>
  </si>
  <si>
    <t>SK-7011N-S</t>
  </si>
  <si>
    <t>SK-7020N</t>
  </si>
  <si>
    <t>grinder- chopper with stainless bowl/2 l - 400</t>
  </si>
  <si>
    <t>SK-7077A-S</t>
  </si>
  <si>
    <t>Sokany Stainless Steel Chopper, 5.5L, 1000W  1 Extra Blade</t>
  </si>
  <si>
    <t>SK-7088A</t>
  </si>
  <si>
    <t>Sokany Stainless Steel Chopper, 8L, 1800W  1 Extra Blade</t>
  </si>
  <si>
    <t>SK-7088A-S</t>
  </si>
  <si>
    <t>SK-758-4N</t>
  </si>
  <si>
    <t>Sokany Hand blender 4 in 1  Model: SK-758-4N</t>
  </si>
  <si>
    <t>SK-866</t>
  </si>
  <si>
    <t>Sokany Portable Mini Hair Straightener</t>
  </si>
  <si>
    <t>SK-882</t>
  </si>
  <si>
    <t>Sokany Compact Travel Hair Dryer</t>
  </si>
  <si>
    <t>SK-888N</t>
  </si>
  <si>
    <t>Sokany 9-in-1 Food Processor, 6000W</t>
  </si>
  <si>
    <t>SK-888N-S</t>
  </si>
  <si>
    <t>SK-999N</t>
  </si>
  <si>
    <t>Blender 6000 watts 2.5 liters capacity 9 speeds 6000 watts s</t>
  </si>
  <si>
    <t>SMS26AI00V</t>
  </si>
  <si>
    <t>Bosch Dishwasher 13 place 60CM setting Stainless Steel 6 Pro</t>
  </si>
  <si>
    <t>SMS46NB20V</t>
  </si>
  <si>
    <t>Bosch Dishwasher 60cm 14 Place 6 Programs Series 4 Black Mod</t>
  </si>
  <si>
    <t>SMS4EMI60V</t>
  </si>
  <si>
    <t>BOSCH Dishwasher  60 cm - 13 persons - stainless steel</t>
  </si>
  <si>
    <t>SMS6ECI83T</t>
  </si>
  <si>
    <t>Bosch Dishwasher 60, 14 Persons  ,8 programs , steel</t>
  </si>
  <si>
    <t>SMS6EMI62V</t>
  </si>
  <si>
    <t>Bosch Dishwasher 60 cm 14 place settings Stainless steel 6 P</t>
  </si>
  <si>
    <t>SMV26DX00T</t>
  </si>
  <si>
    <t>BOSCH  Built in , Dishwasher 12 place 60CM ,6 Programs , Whi</t>
  </si>
  <si>
    <t>SMV4IMX62T</t>
  </si>
  <si>
    <t>BOSCH  Dishwasher Built-In Series 6, 8 programs, Digital,60C</t>
  </si>
  <si>
    <t>Smart</t>
  </si>
  <si>
    <t>SMW253AXX</t>
  </si>
  <si>
    <t>SMART MICROWAVE SMW253AXX 25L SLV</t>
  </si>
  <si>
    <t>Swiss Pro</t>
  </si>
  <si>
    <t>SP-BL850WB</t>
  </si>
  <si>
    <t>Swiss Pro  Blender 1.5L - Glass Jar - 2 speeds with pulse -</t>
  </si>
  <si>
    <t>SPEED EVO 6 NG ADPT</t>
  </si>
  <si>
    <t>Speed ??6-liter natural gas water heater with an adapter</t>
  </si>
  <si>
    <t>SPEED EVO10 NG ADPT</t>
  </si>
  <si>
    <t>Speed ??10-liter natural gas water heater with an adapter</t>
  </si>
  <si>
    <t>STE1040/20</t>
  </si>
  <si>
    <t>Standing Garment Steamer, Large 1.8L Water Tank, Integrated</t>
  </si>
  <si>
    <t>STH3000/26</t>
  </si>
  <si>
    <t>Garment Steamer lightweight, and foldable body 1000 Watts Wa</t>
  </si>
  <si>
    <t>STH3010/76</t>
  </si>
  <si>
    <t>Philips Garment Steamer ? 1000W ? Green ? 100ml Capacity</t>
  </si>
  <si>
    <t>STH3020/16</t>
  </si>
  <si>
    <t>Garment Steamer foldable design 1000 Watts Water Tank: 120 m</t>
  </si>
  <si>
    <t>Samsung Charging -H</t>
  </si>
  <si>
    <t>Samsung  25W Fast Charging Adapter with USB-C Cable black</t>
  </si>
  <si>
    <t>Sokany Yogurt maker</t>
  </si>
  <si>
    <t>Sokany Yogurt maker Gif</t>
  </si>
  <si>
    <t>Steady Wall M-Promo</t>
  </si>
  <si>
    <t>Steady wall mount</t>
  </si>
  <si>
    <t>T10V1TEHG2</t>
  </si>
  <si>
    <t>LG Washing Machine Top Load 10 K Middle Black Inverter</t>
  </si>
  <si>
    <t>T1366NEHG2</t>
  </si>
  <si>
    <t>LG Washing Machine Top Load 13K Inverter Direct Drive  Middl</t>
  </si>
  <si>
    <t>T1388NEHGB</t>
  </si>
  <si>
    <t>LG Washing Machine Top Load 13K Inverter Silver</t>
  </si>
  <si>
    <t>T17V1NDHG2</t>
  </si>
  <si>
    <t>LG Washing Machine Top Load 17 K , Soft Closing Door, Middle</t>
  </si>
  <si>
    <t>T23X5EHHSTX</t>
  </si>
  <si>
    <t>LG Washing Machine Top Load 23kg  .inverter Direct Drive Mot</t>
  </si>
  <si>
    <t>T25X7EFHTTP</t>
  </si>
  <si>
    <t>LG Washing Machine 25 kg Inverter Top Load  with a massive</t>
  </si>
  <si>
    <t>TANK-IT-12L MF-Blue</t>
  </si>
  <si>
    <t>Tank Ice Tank 12 litre blue</t>
  </si>
  <si>
    <t>TCF56WW</t>
  </si>
  <si>
    <t>TORNADO Ceiling Fan 56 Inch With 3 Metal Blades and 5 Speeds</t>
  </si>
  <si>
    <t>TE-C24BEE</t>
  </si>
  <si>
    <t>Tornado AC 3H Cool&amp;Heat External Unit</t>
  </si>
  <si>
    <t>TE-LX12CE</t>
  </si>
  <si>
    <t>TORNADO Split Air Conditioner 1.5 HP Cool-Heat Inverter Digi</t>
  </si>
  <si>
    <t>TE-VX18BEE</t>
  </si>
  <si>
    <t>TORNADO Split Air Conditioner 2.25 HP Cool - Heat Inverter D</t>
  </si>
  <si>
    <t>TE-VX24BEE</t>
  </si>
  <si>
    <t>TEEE-30MS</t>
  </si>
  <si>
    <t>TORNADO Electric Water Heater 30 L , Enamel, LED lamp, Silve</t>
  </si>
  <si>
    <t>TEO-48DGE-K</t>
  </si>
  <si>
    <t>Electric Oven 48 Liter 1800 Watt Grill Fan Black</t>
  </si>
  <si>
    <t>TH-C12YEE</t>
  </si>
  <si>
    <t>1.5 HP Ac Tornado Internal Unit Cool Plasma Shield, White TH</t>
  </si>
  <si>
    <t>TH-C18BEE</t>
  </si>
  <si>
    <t>Torando AC 2.25 Cool Only Internal Unit</t>
  </si>
  <si>
    <t>TH-C24ZEE</t>
  </si>
  <si>
    <t>Tornado A/C Indoor unit 3 HP Cood Digital Tornado TH-C24ZEE</t>
  </si>
  <si>
    <t>THM-300WL</t>
  </si>
  <si>
    <t>Tornado Hand Mixer - 300Watt -</t>
  </si>
  <si>
    <t>TMD-28S-BK</t>
  </si>
  <si>
    <t>Microwave Solo 28 Liter 900 Watt 6 Menus Black</t>
  </si>
  <si>
    <t>TRRS0715</t>
  </si>
  <si>
    <t>DL Radia S Oil Radiator TRRS0715 ,1500W</t>
  </si>
  <si>
    <t>TRY-2SM-P</t>
  </si>
  <si>
    <t>Tornado Curling Iron, Chestnut - TRY-2SM</t>
  </si>
  <si>
    <t>TSF-16W</t>
  </si>
  <si>
    <t>TORNADO Stand Fan 16 Inch With</t>
  </si>
  <si>
    <t>TSF-18MB</t>
  </si>
  <si>
    <t>TORNADO Stand Fan 18 Inch, 4 Blades, Black x Red TSF-18MB</t>
  </si>
  <si>
    <t>TSF-18WR</t>
  </si>
  <si>
    <t>TORNADO Stand Fan 18 Inch, 4 Blades, Black -Remote</t>
  </si>
  <si>
    <t>TSF-18XW</t>
  </si>
  <si>
    <t>TORNADO Stand Fan 18 Inch With</t>
  </si>
  <si>
    <t>TSL-ANG-P</t>
  </si>
  <si>
    <t>Tornado Hair Straightener, Avocado Oil Plates, Green/Gray -</t>
  </si>
  <si>
    <t>TSL-FP100-B</t>
  </si>
  <si>
    <t>Power: 800W Capacity: 2.0L bowl with pusher and double-lock</t>
  </si>
  <si>
    <t>TU-C18BEE</t>
  </si>
  <si>
    <t>Torando AC 2.25 Cool Only External Unit</t>
  </si>
  <si>
    <t>TV Remote Control</t>
  </si>
  <si>
    <t>2.4G Motion Sensing</t>
  </si>
  <si>
    <t>TVC-2000B</t>
  </si>
  <si>
    <t>Pail Can Vacuum Cleaner 2000 Watt Navy</t>
  </si>
  <si>
    <t>TVC-2000EB</t>
  </si>
  <si>
    <t>Vacuum Cleaner 2000 Watt HEPA Filter Blac</t>
  </si>
  <si>
    <t>Ventilator</t>
  </si>
  <si>
    <t>TVH-30CM</t>
  </si>
  <si>
    <t>TORNADO VENTILATING 30CREAMY Metal</t>
  </si>
  <si>
    <t>TW-T25BZU115MWEG-MG</t>
  </si>
  <si>
    <t>TOSHIBA Washing Machine Front Load  10.5KG - Morandi Grey T2</t>
  </si>
  <si>
    <t>TWD-BM100GF4EG(MK)</t>
  </si>
  <si>
    <t>Toshiba Midea Washing Machine Front Load9K&amp;6K Dryer Inverter</t>
  </si>
  <si>
    <t>TWD-BM115GF4EG(MK)</t>
  </si>
  <si>
    <t>Toshiba Midea Washing Machine Front Load10.5&amp;7K Dryer  Inver</t>
  </si>
  <si>
    <t>TWD-BM130GF4EG(MK)</t>
  </si>
  <si>
    <t>Toshiba Midea Washing Machine Front Load 12K&amp;8 Dryer Morand</t>
  </si>
  <si>
    <t>TWE-TLN09RDS</t>
  </si>
  <si>
    <t>Tornado Washing Machine 9 Kg Top Automatic , Pump , Dark Sil</t>
  </si>
  <si>
    <t>TWE-TLN09RSL</t>
  </si>
  <si>
    <t>Tornado Washing Machine 9 Kg Topload Automatic Pump Silver T</t>
  </si>
  <si>
    <t>TWF-16</t>
  </si>
  <si>
    <t>TORNADO Wall Fan 16 Inch With</t>
  </si>
  <si>
    <t>TX40</t>
  </si>
  <si>
    <t>ETI TV Wall Mount, 26:55 Inch, Black - TX40 Fixed</t>
  </si>
  <si>
    <t>TY-C18BEE</t>
  </si>
  <si>
    <t>Tornado AC 2.25 Cool&amp;Heat Internal Unit</t>
  </si>
  <si>
    <t>TY-C24BEE</t>
  </si>
  <si>
    <t>Tornado AC 3H Cool&amp;Heat Internal Unit</t>
  </si>
  <si>
    <t>TY-LX12CHE</t>
  </si>
  <si>
    <t>Tornado AC 1.5 Cool&amp;Heat Internal Unit</t>
  </si>
  <si>
    <t>TY-VX12BEE</t>
  </si>
  <si>
    <t>Tornado AC 1.5H Cool&amp;Heat Internal Unit</t>
  </si>
  <si>
    <t>TY-VX18BEE</t>
  </si>
  <si>
    <t>TY-VX24BEE</t>
  </si>
  <si>
    <t>TY6A35EG</t>
  </si>
  <si>
    <t>Tefal X-PERT 7.60, Handstick Vacuum Cleaner, 140W</t>
  </si>
  <si>
    <t>Tank 5S Eco pack</t>
  </si>
  <si>
    <t>Tank Economic Pack 5 Stages</t>
  </si>
  <si>
    <t>Tank 7S Eco pack</t>
  </si>
  <si>
    <t>Tank Economic Pack 7 Stages</t>
  </si>
  <si>
    <t>Tank BTL Move 350ml</t>
  </si>
  <si>
    <t>stainless steel inner wall for enhanced durability, rust res</t>
  </si>
  <si>
    <t>Tank BTL Move 550ml</t>
  </si>
  <si>
    <t>Tank BTL SCM  Games</t>
  </si>
  <si>
    <t>Insulated wall to keep cold for up to 3 hours/BPA-free Easy-</t>
  </si>
  <si>
    <t>Tank BTL SCM Pink</t>
  </si>
  <si>
    <t>Tank BTL SCM l Park</t>
  </si>
  <si>
    <t>Tank Econcmic Pack</t>
  </si>
  <si>
    <t>Economic Pack ( Promo 2 PP Car</t>
  </si>
  <si>
    <t>Tank-6223003249502</t>
  </si>
  <si>
    <t>Blender 600W with 1.5L Bowl Grinder &amp; Grater Blue Model YB-0</t>
  </si>
  <si>
    <t>Tank-IT-12L-red</t>
  </si>
  <si>
    <t>TANK-IT-12L MF-Red</t>
  </si>
  <si>
    <t>TankBTLClassic0.75-R</t>
  </si>
  <si>
    <t>Tank BTL Classic 0.75L Red</t>
  </si>
  <si>
    <t>UC-200VVA-DH</t>
  </si>
  <si>
    <t>Unionaire Freezer Chest 145 Liter Defrost Digital - Full Sil</t>
  </si>
  <si>
    <t>UC-400VVA-02DS</t>
  </si>
  <si>
    <t>Unionaire  Freezer 320 Liter Chest Defrost - Horizontal Digi</t>
  </si>
  <si>
    <t>Ultra</t>
  </si>
  <si>
    <t>UFC56WE1</t>
  </si>
  <si>
    <t>Ceiling Fan, 56 Inch, White</t>
  </si>
  <si>
    <t>UFN-205LBG1A-DTH</t>
  </si>
  <si>
    <t>Unionaire NoFrost Upright Deep Freezer , 205 Liter , Black -</t>
  </si>
  <si>
    <t>UFN-230LBG1A-DTH</t>
  </si>
  <si>
    <t>Unionaire  freezer 205 litre capacity No frost  Vertical Dig</t>
  </si>
  <si>
    <t>UHB103SE</t>
  </si>
  <si>
    <t>Hand Blender 3x1 1000W Stainless steel blades 600ml graduate</t>
  </si>
  <si>
    <t>URN-440LBG1A-DTHR</t>
  </si>
  <si>
    <t>unionaire Refrigerator 370L Inverter No Frost Black  Glass D</t>
  </si>
  <si>
    <t>URN-600LBG1A-DTHRI</t>
  </si>
  <si>
    <t>unionaire Refrigerator 440L Inverter No Frost Black  Glass D</t>
  </si>
  <si>
    <t>USF19BMH-DS</t>
  </si>
  <si>
    <t>Unionaire Stand Fan, 18 Inch, digital stand fan</t>
  </si>
  <si>
    <t>VC-BL200-B</t>
  </si>
  <si>
    <t>TOSHIBA-Bagless Vacuum Cleaner-VC-BL200B-1.8L-2000W-GTIN-622</t>
  </si>
  <si>
    <t>VC-DR200ACME-B</t>
  </si>
  <si>
    <t>TOSHIBA-Drum Vacuum Cleaner-VC-DR200ACME(B)-21L-2000W-GTIN-6</t>
  </si>
  <si>
    <t>VC20M2510WB/GT-P</t>
  </si>
  <si>
    <t>Samsung VCC  2000 W Bag  - 450 W Suction Power - Blue  ( 2.5</t>
  </si>
  <si>
    <t>VELIS PRO 50 EG</t>
  </si>
  <si>
    <t>Ariston horizontal Water Heater PRO1 R,50L</t>
  </si>
  <si>
    <t>VG-SCFT55BE/RU</t>
  </si>
  <si>
    <t>TV frame accessories 55Beige</t>
  </si>
  <si>
    <t>VG4130EE</t>
  </si>
  <si>
    <t>Tefal Stand Fan - Silent - Remote - Timer - 16Inch - Black</t>
  </si>
  <si>
    <t>VG4135EE</t>
  </si>
  <si>
    <t>Tefal Stand Fan 16 Inch - Remote - Silent - Anti Mosquito -</t>
  </si>
  <si>
    <t>VG4151EE</t>
  </si>
  <si>
    <t>Tefal Silence Force Wall Fan With Remote Control, 16 Inch</t>
  </si>
  <si>
    <t>VGR</t>
  </si>
  <si>
    <t>VGR-001Red</t>
  </si>
  <si>
    <t>VGR Pro V-001 Machine Red</t>
  </si>
  <si>
    <t>VGR-060</t>
  </si>
  <si>
    <t>Hair Clipper Set | Rechargeable Li-ion Battery 2000mAh | 150</t>
  </si>
  <si>
    <t>VGR-071</t>
  </si>
  <si>
    <t>VGR Men's Electric Shave Machine V-071</t>
  </si>
  <si>
    <t>VGR-085</t>
  </si>
  <si>
    <t>VGR V-085 Professional Hair Trimmer - Gold</t>
  </si>
  <si>
    <t>VGR-091</t>
  </si>
  <si>
    <t>Rechargable Hair Trimmer, Gold</t>
  </si>
  <si>
    <t>VGR-092</t>
  </si>
  <si>
    <t>VGR V-092 Hair Clippers for Men Trimmer for Men Hair Trimmer</t>
  </si>
  <si>
    <t>VGR-196</t>
  </si>
  <si>
    <t>VGR Professional Rechargeable Hair Clipper &amp; Hair Trimmer Ki</t>
  </si>
  <si>
    <t>VGR-253</t>
  </si>
  <si>
    <t>Professional Rechargeable Hair Trimmer, Black Gold</t>
  </si>
  <si>
    <t>VGR-290</t>
  </si>
  <si>
    <t>Professional Hair Clipper with LED Display for Men Gold</t>
  </si>
  <si>
    <t>VGR-316</t>
  </si>
  <si>
    <t>Mens Head Shaver for Bald Men 5 in 1 LED Electric Cordless R</t>
  </si>
  <si>
    <t>VGR-427</t>
  </si>
  <si>
    <t>Professsional Digital Rechargeable Hair Trimmer, Green Black</t>
  </si>
  <si>
    <t>VGR-492</t>
  </si>
  <si>
    <t>VGR V-492 Professional Hot Air Brush for Women's Black</t>
  </si>
  <si>
    <t>VGR-494</t>
  </si>
  <si>
    <t>VGR Hair Dryer Brush &amp; Volumizer Hair Curler Straightener Sa</t>
  </si>
  <si>
    <t>VGR-557</t>
  </si>
  <si>
    <t>Professional 7 Teeth Plate Quick Heat Hair Crimper With Cera</t>
  </si>
  <si>
    <t>VGR-665</t>
  </si>
  <si>
    <t>Limited Edition Professional Hair Clipper, Salon Trimmer wit</t>
  </si>
  <si>
    <t>VGR-699</t>
  </si>
  <si>
    <t>Salon Series Professional Digital Display Cordless Hair Clip</t>
  </si>
  <si>
    <t>VGR-702</t>
  </si>
  <si>
    <t>Women's Epilator: Efficient &amp; Convenient Hair Removal Soluti</t>
  </si>
  <si>
    <t>VGR-732</t>
  </si>
  <si>
    <t>Rechargeable Wet and Dry Epilator, White Blue</t>
  </si>
  <si>
    <t>VGR-906</t>
  </si>
  <si>
    <t>Professional Salon Series Rechargeable Hair Trimmer, Black G</t>
  </si>
  <si>
    <t>VGR-933</t>
  </si>
  <si>
    <t>Cordless Rechargeable Hair Trimmer with 2000mAh Lithium batt</t>
  </si>
  <si>
    <t>VGR-934</t>
  </si>
  <si>
    <t>Rotating Waterproof Nose Hair Trimmer, Professional Electric</t>
  </si>
  <si>
    <t>VGR-958</t>
  </si>
  <si>
    <t>Professional Rechargeable cordless Pro Self Haircut Hair Cli</t>
  </si>
  <si>
    <t>Vac Cle 16A</t>
  </si>
  <si>
    <t>3L , 1800W Silence system, Large dust capacity Dust full ind</t>
  </si>
  <si>
    <t>WD 5</t>
  </si>
  <si>
    <t>Karcher Multi Purpose Vacuum Cleaner</t>
  </si>
  <si>
    <t>WFST8BWHR</t>
  </si>
  <si>
    <t>Ariston Washing Machine Inverter Front Load  8 kg Black WFST</t>
  </si>
  <si>
    <t>WFST8GWHR</t>
  </si>
  <si>
    <t>Ariston Washing Machine Inverter Front Load  8 kg Grey WFST8</t>
  </si>
  <si>
    <t>WFST9GWHR</t>
  </si>
  <si>
    <t>Ariston Washing Machine Front Load 9K Inverter  Grey 1400 RP</t>
  </si>
  <si>
    <t>WGK254ZXEG</t>
  </si>
  <si>
    <t>BOSCH Washing Machine Front Load 10K 1400RPM with Iron Steam</t>
  </si>
  <si>
    <t>WH1010B</t>
  </si>
  <si>
    <t>100-literElectric  water heater, black</t>
  </si>
  <si>
    <t>WHB-782WG FP-P</t>
  </si>
  <si>
    <t>White Whale Hand Blender 2000W Black WHB-782WG FP Gif</t>
  </si>
  <si>
    <t>WK300-Black</t>
  </si>
  <si>
    <t>Braun kettle 2200 watts - 1.7 liter capacity - purifying fil</t>
  </si>
  <si>
    <t>WK300-Red</t>
  </si>
  <si>
    <t>WMF 1812</t>
  </si>
  <si>
    <t>Washing Machine Top Automatic 12 kg Hydraulic Glass Door WMF</t>
  </si>
  <si>
    <t>WR-4385 HSS</t>
  </si>
  <si>
    <t>White Whale Refrigerator  2 Door No Frost Refrigerator 430 L</t>
  </si>
  <si>
    <t>WR-7399AB INV</t>
  </si>
  <si>
    <t>White Whale Refrigerator, 4 doors, black, 435 liters, with a</t>
  </si>
  <si>
    <t>WSED7667M.BBMZEEC</t>
  </si>
  <si>
    <t>LG Built-in Electric Oven, 60CM, 76 Liters, Black and Silver</t>
  </si>
  <si>
    <t>WW80CGC0EDAB/AS</t>
  </si>
  <si>
    <t>SamsungWashing Machine  front loading 8k Inverter Steam 1400</t>
  </si>
  <si>
    <t>WW90CGC0EDAB/AS</t>
  </si>
  <si>
    <t>Samsung Washing Machine Front Load 9K Inverter 1400 RPM, Bla</t>
  </si>
  <si>
    <t>YHGE36XE2AFA</t>
  </si>
  <si>
    <t>3834 Tube for York 36H</t>
  </si>
  <si>
    <t>Truman</t>
  </si>
  <si>
    <t>YT-2663</t>
  </si>
  <si>
    <t>Truman tv wall mount 26 -63``</t>
  </si>
  <si>
    <t>fresh-500014114</t>
  </si>
  <si>
    <t>Fresh instant water heater 13.5 kilowatts</t>
  </si>
  <si>
    <t>fresh-500021743</t>
  </si>
  <si>
    <t>Portable Air Conditioner 1050 Watt With Cold Refrigerant Onl</t>
  </si>
  <si>
    <t>lock Magic</t>
  </si>
  <si>
    <t>Lock&amp;Lock Midea promo</t>
  </si>
  <si>
    <t>ok0038400</t>
  </si>
  <si>
    <t>Rich Pro Plus Turkish Coffee Maker, 700 Watts, 1.3 Liter Wat</t>
  </si>
  <si>
    <t>uhb407e1</t>
  </si>
  <si>
    <t>Hand Blender with Attachments, 450W, Black</t>
  </si>
  <si>
    <t>wv1 Plus</t>
  </si>
  <si>
    <t>Karcher WV 1 Plus Window Vacuum, German Technology, Cordless</t>
  </si>
  <si>
    <t>Macro1</t>
  </si>
  <si>
    <t>Macro10</t>
  </si>
  <si>
    <t>Macro11</t>
  </si>
  <si>
    <t>Macro12</t>
  </si>
  <si>
    <t>Macro13</t>
  </si>
  <si>
    <t>Macro14</t>
  </si>
  <si>
    <t>Macro2</t>
  </si>
  <si>
    <t>Macro3</t>
  </si>
  <si>
    <t>Macro4</t>
  </si>
  <si>
    <t>Macro5</t>
  </si>
  <si>
    <t>Macro6</t>
  </si>
  <si>
    <t>Macro7</t>
  </si>
  <si>
    <t>Macro8</t>
  </si>
  <si>
    <t>Macro9</t>
  </si>
  <si>
    <t>Recover</t>
  </si>
  <si>
    <t>Auto_Open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</si>
</sst>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2" Type="http://schemas.microsoft.com/office/2006/relationships/xlMacrosheet" Target="macrosheets/sheet1.xml" /><Relationship Id="rId1" Type="http://schemas.openxmlformats.org/officeDocument/2006/relationships/worksheet" Target="worksheets/sheet1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F4DD012-892C-4613-91F9-A3027A647F7B}">
  <dimension ref="A1:B126"/>
  <sheetViews>
    <sheetView showFormulas="1" workbookViewId="0"/>
  </sheetViews>
  <sheetFormatPr defaultRowHeight="12.75" x14ac:dyDescent="0.15"/>
  <sheetData>
    <row r="1" spans="1:2" x14ac:dyDescent="0.15">
      <c r="A1" t="s">
        <v>1986</v>
      </c>
      <c r="B1" t="s">
        <v>2001</v>
      </c>
    </row>
    <row r="2" spans="1:2" x14ac:dyDescent="0.15">
      <c r="A2">
        <f>ALIGNMENT(2,FALSE,2,0,FALSE)</f>
        <v>0</v>
      </c>
      <c r="B2" t="b">
        <f>ERROR(2,Recover)</f>
        <v>1</v>
      </c>
    </row>
    <row r="3" spans="1:2" x14ac:dyDescent="0.15">
      <c r="A3">
        <f>BORDER(0,1,1,1,1,0,0,5,5,5,5)</f>
        <v>0</v>
      </c>
      <c r="B3">
        <f>WORKBOOK.SELECT("Stock")</f>
        <v>0</v>
      </c>
    </row>
    <row r="4" spans="1:2" x14ac:dyDescent="0.15">
      <c r="A4">
        <f>PATTERNS(1,0,2,TRUE)</f>
        <v>0</v>
      </c>
      <c r="B4" t="b">
        <f>WINDOW.RESTORE()</f>
        <v>1</v>
      </c>
    </row>
    <row r="5" spans="1:2" x14ac:dyDescent="0.15">
      <c r="A5">
        <f>FORMAT.FONT("Tahoma",11,FALSE,FALSE,FALSE,FALSE,1,FALSE,FALSE)</f>
        <v>0</v>
      </c>
      <c r="B5" t="b">
        <f>WINDOW.SIZE(82.5,42.75)</f>
        <v>1</v>
      </c>
    </row>
    <row r="6" spans="1:2" x14ac:dyDescent="0.15">
      <c r="A6" t="b">
        <f>RETURN()</f>
        <v>1</v>
      </c>
      <c r="B6">
        <f>WORKBOOK.HIDE("Macro1",TRUE)</f>
        <v>0</v>
      </c>
    </row>
    <row r="7" spans="1:2" x14ac:dyDescent="0.15">
      <c r="B7">
        <f>EDIT.COLOR(1,0,0,0)</f>
        <v>0</v>
      </c>
    </row>
    <row r="8" spans="1:2" x14ac:dyDescent="0.15">
      <c r="A8" t="s">
        <v>1987</v>
      </c>
      <c r="B8">
        <f>EDIT.COLOR(3,255,0,0)</f>
        <v>0</v>
      </c>
    </row>
    <row r="9" spans="1:2" x14ac:dyDescent="0.15">
      <c r="A9">
        <f>ALIGNMENT(3,FALSE,2,0,FALSE)</f>
        <v>0</v>
      </c>
      <c r="B9">
        <f>EDIT.COLOR(5,172,168,153)</f>
        <v>0</v>
      </c>
    </row>
    <row r="10" spans="1:2" x14ac:dyDescent="0.15">
      <c r="A10">
        <f>BORDER(0,1,1,1,1,0,0,1,1,1,1)</f>
        <v>0</v>
      </c>
      <c r="B10">
        <f>EDIT.COLOR(6,255,204,153)</f>
        <v>0</v>
      </c>
    </row>
    <row r="11" spans="1:2" x14ac:dyDescent="0.15">
      <c r="A11">
        <f>PATTERNS(1,0,7,TRUE)</f>
        <v>0</v>
      </c>
      <c r="B11">
        <f>EDIT.COLOR(4,212,212,212)</f>
        <v>0</v>
      </c>
    </row>
    <row r="12" spans="1:2" x14ac:dyDescent="0.15">
      <c r="A12">
        <f>FORMAT.FONT("Tahoma",11,FALSE,FALSE,FALSE,FALSE,1,FALSE,FALSE)</f>
        <v>0</v>
      </c>
      <c r="B12">
        <f>EDIT.COLOR(7,223,224,223)</f>
        <v>0</v>
      </c>
    </row>
    <row r="13" spans="1:2" x14ac:dyDescent="0.15">
      <c r="A13" t="b">
        <f>RETURN()</f>
        <v>1</v>
      </c>
      <c r="B13">
        <f>EDIT.COLOR(2,255,255,255)</f>
        <v>0</v>
      </c>
    </row>
    <row r="14" spans="1:2" x14ac:dyDescent="0.15">
      <c r="B14">
        <f>RUN("Macro14")</f>
        <v>0</v>
      </c>
    </row>
    <row r="15" spans="1:2" x14ac:dyDescent="0.15">
      <c r="A15" t="s">
        <v>1988</v>
      </c>
      <c r="B15">
        <f>DELETE.NAME("Auto_Open")</f>
        <v>0</v>
      </c>
    </row>
    <row r="16" spans="1:2" x14ac:dyDescent="0.15">
      <c r="A16">
        <f>ALIGNMENT(3,FALSE,2,0,FALSE)</f>
        <v>0</v>
      </c>
      <c r="B16">
        <f>WORKBOOK.SELECT("Stock")</f>
        <v>0</v>
      </c>
    </row>
    <row r="17" spans="1:2" x14ac:dyDescent="0.15">
      <c r="A17">
        <f>BORDER(0,1,1,1,1,0,0,1,1,1,1)</f>
        <v>0</v>
      </c>
      <c r="B17">
        <f>SELECT("R3:R65536")</f>
        <v>0</v>
      </c>
    </row>
    <row r="18" spans="1:2" x14ac:dyDescent="0.15">
      <c r="A18">
        <f>PATTERNS(1,0,7,TRUE)</f>
        <v>0</v>
      </c>
      <c r="B18" t="b">
        <f>COLUMN.WIDTH(,,,3)</f>
        <v>0</v>
      </c>
    </row>
    <row r="19" spans="1:2" x14ac:dyDescent="0.15">
      <c r="A19">
        <f>FORMAT.FONT("Tahoma",11,FALSE,FALSE,FALSE,FALSE,1,FALSE,FALSE)</f>
        <v>0</v>
      </c>
      <c r="B19" t="b">
        <f>ROW.HEIGHT(,,,3)</f>
        <v>0</v>
      </c>
    </row>
    <row r="20" spans="1:2" x14ac:dyDescent="0.15">
      <c r="A20" t="b">
        <f>RETURN()</f>
        <v>1</v>
      </c>
      <c r="B20">
        <f>SELECT("R1C1")</f>
        <v>0</v>
      </c>
    </row>
    <row r="21" spans="1:2" x14ac:dyDescent="0.15">
      <c r="B21" t="b">
        <f>WINDOW.MAXIMIZE()</f>
        <v>0</v>
      </c>
    </row>
    <row r="22" spans="1:2" x14ac:dyDescent="0.15">
      <c r="A22" t="s">
        <v>1989</v>
      </c>
      <c r="B22" t="b">
        <f>RETURN()</f>
        <v>1</v>
      </c>
    </row>
    <row r="23" spans="1:2" x14ac:dyDescent="0.15">
      <c r="A23">
        <f>ALIGNMENT(3,FALSE,2,0,FALSE)</f>
        <v>0</v>
      </c>
    </row>
    <row r="24" spans="1:2" x14ac:dyDescent="0.15">
      <c r="A24">
        <f>BORDER(0,1,1,1,1,0,0,1,1,1,1)</f>
        <v>0</v>
      </c>
    </row>
    <row r="25" spans="1:2" x14ac:dyDescent="0.15">
      <c r="A25">
        <f>PATTERNS(1,0,7,TRUE)</f>
        <v>0</v>
      </c>
    </row>
    <row r="26" spans="1:2" x14ac:dyDescent="0.15">
      <c r="A26">
        <f>FORMAT.FONT("Tahoma",11,FALSE,FALSE,FALSE,FALSE,1,FALSE,FALSE)</f>
        <v>0</v>
      </c>
    </row>
    <row r="27" spans="1:2" x14ac:dyDescent="0.15">
      <c r="A27" t="b">
        <f>RETURN()</f>
        <v>1</v>
      </c>
    </row>
    <row r="29" spans="1:2" x14ac:dyDescent="0.15">
      <c r="A29" t="s">
        <v>1990</v>
      </c>
    </row>
    <row r="30" spans="1:2" x14ac:dyDescent="0.15">
      <c r="A30">
        <f>ALIGNMENT(3,FALSE,2,0,FALSE)</f>
        <v>0</v>
      </c>
    </row>
    <row r="31" spans="1:2" x14ac:dyDescent="0.15">
      <c r="A31">
        <f>BORDER(0,1,1,1,1,0,0,1,1,1,1)</f>
        <v>0</v>
      </c>
    </row>
    <row r="32" spans="1:2" x14ac:dyDescent="0.15">
      <c r="A32">
        <f>PATTERNS(1,0,7,TRUE)</f>
        <v>0</v>
      </c>
    </row>
    <row r="33" spans="1:1" x14ac:dyDescent="0.15">
      <c r="A33">
        <f>FORMAT.FONT("Tahoma",11,FALSE,FALSE,FALSE,FALSE,1,FALSE,FALSE)</f>
        <v>0</v>
      </c>
    </row>
    <row r="34" spans="1:1" x14ac:dyDescent="0.15">
      <c r="A34" t="b">
        <f>RETURN()</f>
        <v>1</v>
      </c>
    </row>
    <row r="36" spans="1:1" x14ac:dyDescent="0.15">
      <c r="A36" t="s">
        <v>1991</v>
      </c>
    </row>
    <row r="37" spans="1:1" x14ac:dyDescent="0.15">
      <c r="A37">
        <f>WORKBOOK.SELECT("Stock")</f>
        <v>0</v>
      </c>
    </row>
    <row r="38" spans="1:1" x14ac:dyDescent="0.15">
      <c r="A38">
        <f>SELECT("R6C1:R891C7")</f>
        <v>0</v>
      </c>
    </row>
    <row r="39" spans="1:1" x14ac:dyDescent="0.15">
      <c r="A39">
        <f>RUN("Macro1")</f>
        <v>0</v>
      </c>
    </row>
    <row r="40" spans="1:1" x14ac:dyDescent="0.15">
      <c r="A40">
        <f>SELECT("R6C8:R891C11")</f>
        <v>0</v>
      </c>
    </row>
    <row r="41" spans="1:1" x14ac:dyDescent="0.15">
      <c r="A41">
        <f>RUN("Macro2")</f>
        <v>0</v>
      </c>
    </row>
    <row r="42" spans="1:1" x14ac:dyDescent="0.15">
      <c r="A42">
        <f>SELECT("R6C9:R891C9,R6C10:R891C10,R6C11:R891C11")</f>
        <v>0</v>
      </c>
    </row>
    <row r="43" spans="1:1" x14ac:dyDescent="0.15">
      <c r="A43">
        <f>FORMAT.NUMBER("#########0")</f>
        <v>0</v>
      </c>
    </row>
    <row r="44" spans="1:1" x14ac:dyDescent="0.15">
      <c r="A44">
        <f>SELECT("R3C1")</f>
        <v>0</v>
      </c>
    </row>
    <row r="45" spans="1:1" x14ac:dyDescent="0.15">
      <c r="A45">
        <f>RUN("Macro3")</f>
        <v>0</v>
      </c>
    </row>
    <row r="46" spans="1:1" x14ac:dyDescent="0.15">
      <c r="A46">
        <f>SELECT("R3C2:R3C3")</f>
        <v>0</v>
      </c>
    </row>
    <row r="47" spans="1:1" x14ac:dyDescent="0.15">
      <c r="A47">
        <f>RUN("Macro4")</f>
        <v>0</v>
      </c>
    </row>
    <row r="48" spans="1:1" x14ac:dyDescent="0.15">
      <c r="A48">
        <f>SELECT("R5C1")</f>
        <v>0</v>
      </c>
    </row>
    <row r="49" spans="1:1" x14ac:dyDescent="0.15">
      <c r="A49">
        <f>RUN("Macro5")</f>
        <v>0</v>
      </c>
    </row>
    <row r="50" spans="1:1" x14ac:dyDescent="0.15">
      <c r="A50">
        <f>SELECT("R5C2")</f>
        <v>0</v>
      </c>
    </row>
    <row r="51" spans="1:1" x14ac:dyDescent="0.15">
      <c r="A51">
        <f>RUN("Macro6")</f>
        <v>0</v>
      </c>
    </row>
    <row r="52" spans="1:1" x14ac:dyDescent="0.15">
      <c r="A52">
        <f>SELECT("R5C3")</f>
        <v>0</v>
      </c>
    </row>
    <row r="53" spans="1:1" x14ac:dyDescent="0.15">
      <c r="A53">
        <f>RUN("Macro7")</f>
        <v>0</v>
      </c>
    </row>
    <row r="54" spans="1:1" x14ac:dyDescent="0.15">
      <c r="A54">
        <f>SELECT("R5C4")</f>
        <v>0</v>
      </c>
    </row>
    <row r="55" spans="1:1" x14ac:dyDescent="0.15">
      <c r="A55">
        <f>RUN("Macro8")</f>
        <v>0</v>
      </c>
    </row>
    <row r="56" spans="1:1" x14ac:dyDescent="0.15">
      <c r="A56">
        <f>SELECT("R5C5")</f>
        <v>0</v>
      </c>
    </row>
    <row r="57" spans="1:1" x14ac:dyDescent="0.15">
      <c r="A57">
        <f>RUN("Macro9")</f>
        <v>0</v>
      </c>
    </row>
    <row r="58" spans="1:1" x14ac:dyDescent="0.15">
      <c r="A58">
        <f>SELECT("R5C6")</f>
        <v>0</v>
      </c>
    </row>
    <row r="59" spans="1:1" x14ac:dyDescent="0.15">
      <c r="A59">
        <f>RUN("Macro10")</f>
        <v>0</v>
      </c>
    </row>
    <row r="60" spans="1:1" x14ac:dyDescent="0.15">
      <c r="A60">
        <f>SELECT("R5C7:R5C8")</f>
        <v>0</v>
      </c>
    </row>
    <row r="61" spans="1:1" x14ac:dyDescent="0.15">
      <c r="A61">
        <f>RUN("Macro11")</f>
        <v>0</v>
      </c>
    </row>
    <row r="62" spans="1:1" x14ac:dyDescent="0.15">
      <c r="A62">
        <f>SELECT("R5C9")</f>
        <v>0</v>
      </c>
    </row>
    <row r="63" spans="1:1" x14ac:dyDescent="0.15">
      <c r="A63">
        <f>RUN("Macro12")</f>
        <v>0</v>
      </c>
    </row>
    <row r="64" spans="1:1" x14ac:dyDescent="0.15">
      <c r="A64">
        <f>SELECT("R5C10:R5C11")</f>
        <v>0</v>
      </c>
    </row>
    <row r="65" spans="1:1" x14ac:dyDescent="0.15">
      <c r="A65">
        <f>RUN("Macro13")</f>
        <v>0</v>
      </c>
    </row>
    <row r="66" spans="1:1" x14ac:dyDescent="0.15">
      <c r="A66" t="b">
        <f>RETURN()</f>
        <v>1</v>
      </c>
    </row>
    <row r="68" spans="1:1" x14ac:dyDescent="0.15">
      <c r="A68" t="s">
        <v>1992</v>
      </c>
    </row>
    <row r="69" spans="1:1" x14ac:dyDescent="0.15">
      <c r="A69">
        <f>ALIGNMENT(3,FALSE,2,0,FALSE)</f>
        <v>0</v>
      </c>
    </row>
    <row r="70" spans="1:1" x14ac:dyDescent="0.15">
      <c r="A70">
        <f>BORDER(0,1,1,1,1,0,0,5,5,5,5)</f>
        <v>0</v>
      </c>
    </row>
    <row r="71" spans="1:1" x14ac:dyDescent="0.15">
      <c r="A71">
        <f>PATTERNS(1,0,2,TRUE)</f>
        <v>0</v>
      </c>
    </row>
    <row r="72" spans="1:1" x14ac:dyDescent="0.15">
      <c r="A72">
        <f>FORMAT.FONT("Tahoma",11,FALSE,FALSE,FALSE,FALSE,1,FALSE,FALSE)</f>
        <v>0</v>
      </c>
    </row>
    <row r="73" spans="1:1" x14ac:dyDescent="0.15">
      <c r="A73" t="b">
        <f>RETURN()</f>
        <v>1</v>
      </c>
    </row>
    <row r="75" spans="1:1" x14ac:dyDescent="0.15">
      <c r="A75" t="s">
        <v>1993</v>
      </c>
    </row>
    <row r="76" spans="1:1" x14ac:dyDescent="0.15">
      <c r="A76">
        <f>ALIGNMENT(2,FALSE,2,0,FALSE)</f>
        <v>0</v>
      </c>
    </row>
    <row r="77" spans="1:1" x14ac:dyDescent="0.15">
      <c r="A77">
        <f>BORDER(0,1,1,1,1,0,0,1,1,1,1)</f>
        <v>0</v>
      </c>
    </row>
    <row r="78" spans="1:1" x14ac:dyDescent="0.15">
      <c r="A78">
        <f>PATTERNS(1,0,6,TRUE)</f>
        <v>0</v>
      </c>
    </row>
    <row r="79" spans="1:1" x14ac:dyDescent="0.15">
      <c r="A79">
        <f>FORMAT.FONT("Tahoma",12,FALSE,FALSE,FALSE,FALSE,1,FALSE,FALSE)</f>
        <v>0</v>
      </c>
    </row>
    <row r="80" spans="1:1" x14ac:dyDescent="0.15">
      <c r="A80" t="b">
        <f>RETURN()</f>
        <v>1</v>
      </c>
    </row>
    <row r="82" spans="1:1" x14ac:dyDescent="0.15">
      <c r="A82" t="s">
        <v>1994</v>
      </c>
    </row>
    <row r="83" spans="1:1" x14ac:dyDescent="0.15">
      <c r="A83">
        <f>ALIGNMENT(3,FALSE,2,0,FALSE)</f>
        <v>0</v>
      </c>
    </row>
    <row r="84" spans="1:1" x14ac:dyDescent="0.15">
      <c r="A84">
        <f>BORDER(0,1,1,1,1,0,0,1,1,1,1)</f>
        <v>0</v>
      </c>
    </row>
    <row r="85" spans="1:1" x14ac:dyDescent="0.15">
      <c r="A85">
        <f>PATTERNS(1,0,7,TRUE)</f>
        <v>0</v>
      </c>
    </row>
    <row r="86" spans="1:1" x14ac:dyDescent="0.15">
      <c r="A86">
        <f>FORMAT.FONT("Tahoma",11,FALSE,FALSE,FALSE,FALSE,1,FALSE,FALSE)</f>
        <v>0</v>
      </c>
    </row>
    <row r="87" spans="1:1" x14ac:dyDescent="0.15">
      <c r="A87" t="b">
        <f>RETURN()</f>
        <v>1</v>
      </c>
    </row>
    <row r="89" spans="1:1" x14ac:dyDescent="0.15">
      <c r="A89" t="s">
        <v>1995</v>
      </c>
    </row>
    <row r="90" spans="1:1" x14ac:dyDescent="0.15">
      <c r="A90">
        <f>ALIGNMENT(3,FALSE,2,0,FALSE)</f>
        <v>0</v>
      </c>
    </row>
    <row r="91" spans="1:1" x14ac:dyDescent="0.15">
      <c r="A91">
        <f>BORDER(0,1,1,1,1,0,0,1,1,1,1)</f>
        <v>0</v>
      </c>
    </row>
    <row r="92" spans="1:1" x14ac:dyDescent="0.15">
      <c r="A92">
        <f>PATTERNS(1,0,7,TRUE)</f>
        <v>0</v>
      </c>
    </row>
    <row r="93" spans="1:1" x14ac:dyDescent="0.15">
      <c r="A93">
        <f>FORMAT.FONT("Tahoma",11,FALSE,FALSE,FALSE,FALSE,1,FALSE,FALSE)</f>
        <v>0</v>
      </c>
    </row>
    <row r="94" spans="1:1" x14ac:dyDescent="0.15">
      <c r="A94" t="b">
        <f>RETURN()</f>
        <v>1</v>
      </c>
    </row>
    <row r="96" spans="1:1" x14ac:dyDescent="0.15">
      <c r="A96" t="s">
        <v>1996</v>
      </c>
    </row>
    <row r="97" spans="1:1" x14ac:dyDescent="0.15">
      <c r="A97">
        <f>ALIGNMENT(3,FALSE,2,0,FALSE)</f>
        <v>0</v>
      </c>
    </row>
    <row r="98" spans="1:1" x14ac:dyDescent="0.15">
      <c r="A98">
        <f>BORDER(0,1,1,1,1,0,0,1,1,1,1)</f>
        <v>0</v>
      </c>
    </row>
    <row r="99" spans="1:1" x14ac:dyDescent="0.15">
      <c r="A99">
        <f>PATTERNS(1,0,7,TRUE)</f>
        <v>0</v>
      </c>
    </row>
    <row r="100" spans="1:1" x14ac:dyDescent="0.15">
      <c r="A100">
        <f>FORMAT.FONT("Tahoma",11,FALSE,FALSE,FALSE,FALSE,1,FALSE,FALSE)</f>
        <v>0</v>
      </c>
    </row>
    <row r="101" spans="1:1" x14ac:dyDescent="0.15">
      <c r="A101" t="b">
        <f>RETURN()</f>
        <v>1</v>
      </c>
    </row>
    <row r="103" spans="1:1" x14ac:dyDescent="0.15">
      <c r="A103" t="s">
        <v>1997</v>
      </c>
    </row>
    <row r="104" spans="1:1" x14ac:dyDescent="0.15">
      <c r="A104">
        <f>ALIGNMENT(3,FALSE,2,0,FALSE)</f>
        <v>0</v>
      </c>
    </row>
    <row r="105" spans="1:1" x14ac:dyDescent="0.15">
      <c r="A105">
        <f>BORDER(0,1,1,1,1,0,0,1,1,1,1)</f>
        <v>0</v>
      </c>
    </row>
    <row r="106" spans="1:1" x14ac:dyDescent="0.15">
      <c r="A106">
        <f>PATTERNS(1,0,7,TRUE)</f>
        <v>0</v>
      </c>
    </row>
    <row r="107" spans="1:1" x14ac:dyDescent="0.15">
      <c r="A107">
        <f>FORMAT.FONT("Tahoma",11,FALSE,FALSE,FALSE,FALSE,1,FALSE,FALSE)</f>
        <v>0</v>
      </c>
    </row>
    <row r="108" spans="1:1" x14ac:dyDescent="0.15">
      <c r="A108" t="b">
        <f>RETURN()</f>
        <v>1</v>
      </c>
    </row>
    <row r="110" spans="1:1" x14ac:dyDescent="0.15">
      <c r="A110" t="s">
        <v>1998</v>
      </c>
    </row>
    <row r="111" spans="1:1" x14ac:dyDescent="0.15">
      <c r="A111">
        <f>ALIGNMENT(3,FALSE,2,0,FALSE)</f>
        <v>0</v>
      </c>
    </row>
    <row r="112" spans="1:1" x14ac:dyDescent="0.15">
      <c r="A112">
        <f>BORDER(0,1,1,1,1,0,0,1,1,1,1)</f>
        <v>0</v>
      </c>
    </row>
    <row r="113" spans="1:1" x14ac:dyDescent="0.15">
      <c r="A113">
        <f>PATTERNS(1,0,7,TRUE)</f>
        <v>0</v>
      </c>
    </row>
    <row r="114" spans="1:1" x14ac:dyDescent="0.15">
      <c r="A114">
        <f>FORMAT.FONT("Tahoma",11,FALSE,FALSE,FALSE,FALSE,1,FALSE,FALSE)</f>
        <v>0</v>
      </c>
    </row>
    <row r="115" spans="1:1" x14ac:dyDescent="0.15">
      <c r="A115" t="b">
        <f>RETURN()</f>
        <v>1</v>
      </c>
    </row>
    <row r="117" spans="1:1" x14ac:dyDescent="0.15">
      <c r="A117" t="s">
        <v>1999</v>
      </c>
    </row>
    <row r="118" spans="1:1" x14ac:dyDescent="0.15">
      <c r="A118">
        <f>ALIGNMENT(3,FALSE,2,0,FALSE)</f>
        <v>0</v>
      </c>
    </row>
    <row r="119" spans="1:1" x14ac:dyDescent="0.15">
      <c r="A119">
        <f>BORDER(0,1,1,1,1,0,0,1,1,1,1)</f>
        <v>0</v>
      </c>
    </row>
    <row r="120" spans="1:1" x14ac:dyDescent="0.15">
      <c r="A120">
        <f>PATTERNS(1,0,7,TRUE)</f>
        <v>0</v>
      </c>
    </row>
    <row r="121" spans="1:1" x14ac:dyDescent="0.15">
      <c r="A121">
        <f>FORMAT.FONT("Tahoma",11,FALSE,FALSE,FALSE,FALSE,1,FALSE,FALSE)</f>
        <v>0</v>
      </c>
    </row>
    <row r="122" spans="1:1" x14ac:dyDescent="0.15">
      <c r="A122" t="b">
        <f>RETURN()</f>
        <v>1</v>
      </c>
    </row>
    <row r="124" spans="1:1" x14ac:dyDescent="0.15">
      <c r="A124" t="s">
        <v>2000</v>
      </c>
    </row>
    <row r="125" spans="1:1" x14ac:dyDescent="0.15">
      <c r="A125" t="b">
        <f>GOTO(OFFSET(LAST.ERROR(),1,0))</f>
        <v>0</v>
      </c>
    </row>
    <row r="126" spans="1:1" x14ac:dyDescent="0.15">
      <c r="A126" t="b">
        <f>RETURN()</f>
        <v>1</v>
      </c>
    </row>
  </sheetData>
  <pageMargins left="0.75" right="0.75" top="1" bottom="1" header="0.5" footer="0.5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B0F06-3FAC-48B3-913D-68477B861C2B}">
  <dimension ref="A1:K893"/>
  <sheetViews>
    <sheetView tabSelected="1" zoomScaleNormal="16368" workbookViewId="0"/>
  </sheetViews>
  <sheetFormatPr defaultRowHeight="12.75" x14ac:dyDescent="0.15"/>
  <sheetData>
    <row r="1" spans="1:11" x14ac:dyDescent="0.15">
      <c r="A1" t="s">
        <v>0</v>
      </c>
    </row>
    <row r="3" spans="1:11" x14ac:dyDescent="0.15">
      <c r="A3" t="s">
        <v>1</v>
      </c>
      <c r="B3" t="s">
        <v>2</v>
      </c>
      <c r="C3" t="s">
        <v>3</v>
      </c>
    </row>
    <row r="5" spans="1:11" x14ac:dyDescent="0.15">
      <c r="A5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</row>
    <row r="6" spans="1:11" x14ac:dyDescent="0.15">
      <c r="A6" t="s">
        <v>15</v>
      </c>
      <c r="B6" t="s">
        <v>16</v>
      </c>
      <c r="C6" t="s">
        <v>17</v>
      </c>
      <c r="D6" t="s">
        <v>18</v>
      </c>
      <c r="E6" t="s">
        <v>19</v>
      </c>
      <c r="F6" t="s">
        <v>20</v>
      </c>
      <c r="G6" t="s">
        <v>21</v>
      </c>
      <c r="H6" t="s">
        <v>22</v>
      </c>
      <c r="I6">
        <v>1</v>
      </c>
      <c r="J6">
        <v>1</v>
      </c>
      <c r="K6">
        <v>0</v>
      </c>
    </row>
    <row r="7" spans="1:11" x14ac:dyDescent="0.15">
      <c r="A7" t="s">
        <v>15</v>
      </c>
      <c r="B7" t="s">
        <v>16</v>
      </c>
      <c r="C7" t="s">
        <v>17</v>
      </c>
      <c r="D7" t="s">
        <v>23</v>
      </c>
      <c r="E7" t="s">
        <v>24</v>
      </c>
      <c r="F7" t="s">
        <v>25</v>
      </c>
      <c r="G7" t="s">
        <v>21</v>
      </c>
      <c r="H7" t="s">
        <v>22</v>
      </c>
      <c r="I7">
        <v>9</v>
      </c>
      <c r="J7">
        <v>11</v>
      </c>
      <c r="K7">
        <v>2</v>
      </c>
    </row>
    <row r="8" spans="1:11" x14ac:dyDescent="0.15">
      <c r="A8" t="s">
        <v>15</v>
      </c>
      <c r="B8" t="s">
        <v>16</v>
      </c>
      <c r="C8" t="s">
        <v>17</v>
      </c>
      <c r="D8" t="s">
        <v>26</v>
      </c>
      <c r="E8" t="s">
        <v>27</v>
      </c>
      <c r="F8" t="s">
        <v>28</v>
      </c>
      <c r="G8" t="s">
        <v>21</v>
      </c>
      <c r="H8" t="s">
        <v>22</v>
      </c>
      <c r="I8">
        <v>0</v>
      </c>
      <c r="J8">
        <v>9</v>
      </c>
      <c r="K8">
        <v>9</v>
      </c>
    </row>
    <row r="9" spans="1:11" x14ac:dyDescent="0.15">
      <c r="A9" t="s">
        <v>15</v>
      </c>
      <c r="B9" t="s">
        <v>29</v>
      </c>
      <c r="C9" t="s">
        <v>17</v>
      </c>
      <c r="D9" t="s">
        <v>30</v>
      </c>
      <c r="E9" t="s">
        <v>31</v>
      </c>
      <c r="F9" t="s">
        <v>32</v>
      </c>
      <c r="G9" t="s">
        <v>21</v>
      </c>
      <c r="H9" t="s">
        <v>22</v>
      </c>
      <c r="I9">
        <v>8</v>
      </c>
      <c r="J9">
        <v>10</v>
      </c>
      <c r="K9">
        <v>2</v>
      </c>
    </row>
    <row r="10" spans="1:11" x14ac:dyDescent="0.15">
      <c r="A10" t="s">
        <v>15</v>
      </c>
      <c r="B10" t="s">
        <v>29</v>
      </c>
      <c r="C10" t="s">
        <v>17</v>
      </c>
      <c r="D10" t="s">
        <v>33</v>
      </c>
      <c r="E10" t="s">
        <v>34</v>
      </c>
      <c r="F10" t="s">
        <v>35</v>
      </c>
      <c r="G10" t="s">
        <v>21</v>
      </c>
      <c r="H10" t="s">
        <v>22</v>
      </c>
      <c r="I10">
        <v>2</v>
      </c>
      <c r="J10">
        <v>2</v>
      </c>
      <c r="K10">
        <v>0</v>
      </c>
    </row>
    <row r="11" spans="1:11" x14ac:dyDescent="0.15">
      <c r="A11" t="s">
        <v>15</v>
      </c>
      <c r="B11" t="s">
        <v>36</v>
      </c>
      <c r="C11" t="s">
        <v>17</v>
      </c>
      <c r="D11" t="s">
        <v>37</v>
      </c>
      <c r="E11" t="s">
        <v>38</v>
      </c>
      <c r="F11" t="s">
        <v>39</v>
      </c>
      <c r="G11" t="s">
        <v>21</v>
      </c>
      <c r="H11" t="s">
        <v>22</v>
      </c>
      <c r="I11">
        <v>98</v>
      </c>
      <c r="J11">
        <v>105</v>
      </c>
      <c r="K11">
        <v>7</v>
      </c>
    </row>
    <row r="12" spans="1:11" x14ac:dyDescent="0.15">
      <c r="A12" t="s">
        <v>15</v>
      </c>
      <c r="B12" t="s">
        <v>36</v>
      </c>
      <c r="C12" t="s">
        <v>17</v>
      </c>
      <c r="D12" t="s">
        <v>40</v>
      </c>
      <c r="E12" t="s">
        <v>41</v>
      </c>
      <c r="F12" t="s">
        <v>42</v>
      </c>
      <c r="G12" t="s">
        <v>21</v>
      </c>
      <c r="H12" t="s">
        <v>22</v>
      </c>
      <c r="I12">
        <v>39</v>
      </c>
      <c r="J12">
        <v>56</v>
      </c>
      <c r="K12">
        <v>17</v>
      </c>
    </row>
    <row r="13" spans="1:11" x14ac:dyDescent="0.15">
      <c r="A13" t="s">
        <v>15</v>
      </c>
      <c r="B13" t="s">
        <v>36</v>
      </c>
      <c r="C13" t="s">
        <v>17</v>
      </c>
      <c r="D13" t="s">
        <v>43</v>
      </c>
      <c r="E13" t="s">
        <v>44</v>
      </c>
      <c r="F13" t="s">
        <v>45</v>
      </c>
      <c r="G13" t="s">
        <v>21</v>
      </c>
      <c r="H13" t="s">
        <v>22</v>
      </c>
      <c r="I13">
        <v>25</v>
      </c>
      <c r="J13">
        <v>48</v>
      </c>
      <c r="K13">
        <v>23</v>
      </c>
    </row>
    <row r="14" spans="1:11" x14ac:dyDescent="0.15">
      <c r="A14" t="s">
        <v>15</v>
      </c>
      <c r="B14" t="s">
        <v>36</v>
      </c>
      <c r="C14" t="s">
        <v>17</v>
      </c>
      <c r="D14" t="s">
        <v>46</v>
      </c>
      <c r="E14" t="s">
        <v>47</v>
      </c>
      <c r="F14" t="s">
        <v>48</v>
      </c>
      <c r="G14" t="s">
        <v>21</v>
      </c>
      <c r="H14" t="s">
        <v>22</v>
      </c>
      <c r="I14">
        <v>34</v>
      </c>
      <c r="J14">
        <v>53</v>
      </c>
      <c r="K14">
        <v>19</v>
      </c>
    </row>
    <row r="15" spans="1:11" x14ac:dyDescent="0.15">
      <c r="A15" t="s">
        <v>15</v>
      </c>
      <c r="B15" t="s">
        <v>49</v>
      </c>
      <c r="C15" t="s">
        <v>17</v>
      </c>
      <c r="D15" t="s">
        <v>50</v>
      </c>
      <c r="E15" t="s">
        <v>51</v>
      </c>
      <c r="F15" t="s">
        <v>52</v>
      </c>
      <c r="G15" t="s">
        <v>21</v>
      </c>
      <c r="H15" t="s">
        <v>22</v>
      </c>
      <c r="I15">
        <v>285</v>
      </c>
      <c r="J15">
        <v>315</v>
      </c>
      <c r="K15">
        <v>30</v>
      </c>
    </row>
    <row r="16" spans="1:11" x14ac:dyDescent="0.15">
      <c r="A16" t="s">
        <v>15</v>
      </c>
      <c r="B16" t="s">
        <v>53</v>
      </c>
      <c r="C16" t="s">
        <v>17</v>
      </c>
      <c r="D16" t="s">
        <v>54</v>
      </c>
      <c r="E16" t="s">
        <v>55</v>
      </c>
      <c r="F16" t="s">
        <v>56</v>
      </c>
      <c r="G16" t="s">
        <v>21</v>
      </c>
      <c r="H16" t="s">
        <v>22</v>
      </c>
      <c r="I16">
        <v>9</v>
      </c>
      <c r="J16">
        <v>11</v>
      </c>
      <c r="K16">
        <v>2</v>
      </c>
    </row>
    <row r="17" spans="1:11" x14ac:dyDescent="0.15">
      <c r="A17" t="s">
        <v>15</v>
      </c>
      <c r="B17" t="s">
        <v>53</v>
      </c>
      <c r="C17" t="s">
        <v>17</v>
      </c>
      <c r="D17" t="s">
        <v>57</v>
      </c>
      <c r="E17" t="s">
        <v>58</v>
      </c>
      <c r="F17" t="s">
        <v>59</v>
      </c>
      <c r="G17" t="s">
        <v>21</v>
      </c>
      <c r="H17" t="s">
        <v>22</v>
      </c>
      <c r="I17">
        <v>9</v>
      </c>
      <c r="J17">
        <v>11</v>
      </c>
      <c r="K17">
        <v>2</v>
      </c>
    </row>
    <row r="18" spans="1:11" x14ac:dyDescent="0.15">
      <c r="A18" t="s">
        <v>15</v>
      </c>
      <c r="B18" t="s">
        <v>53</v>
      </c>
      <c r="C18" t="s">
        <v>17</v>
      </c>
      <c r="D18" t="s">
        <v>60</v>
      </c>
      <c r="E18" t="s">
        <v>61</v>
      </c>
      <c r="F18" t="s">
        <v>62</v>
      </c>
      <c r="G18" t="s">
        <v>21</v>
      </c>
      <c r="H18" t="s">
        <v>22</v>
      </c>
      <c r="I18">
        <v>1</v>
      </c>
      <c r="J18">
        <v>1</v>
      </c>
      <c r="K18">
        <v>0</v>
      </c>
    </row>
    <row r="19" spans="1:11" x14ac:dyDescent="0.15">
      <c r="A19" t="s">
        <v>15</v>
      </c>
      <c r="B19" t="s">
        <v>53</v>
      </c>
      <c r="C19" t="s">
        <v>17</v>
      </c>
      <c r="D19" t="s">
        <v>63</v>
      </c>
      <c r="E19" t="s">
        <v>64</v>
      </c>
      <c r="F19" t="s">
        <v>65</v>
      </c>
      <c r="G19" t="s">
        <v>21</v>
      </c>
      <c r="H19" t="s">
        <v>22</v>
      </c>
      <c r="I19">
        <v>27</v>
      </c>
      <c r="J19">
        <v>47</v>
      </c>
      <c r="K19">
        <v>20</v>
      </c>
    </row>
    <row r="20" spans="1:11" x14ac:dyDescent="0.15">
      <c r="A20" t="s">
        <v>15</v>
      </c>
      <c r="B20" t="s">
        <v>53</v>
      </c>
      <c r="C20" t="s">
        <v>17</v>
      </c>
      <c r="D20" t="s">
        <v>66</v>
      </c>
      <c r="E20" t="s">
        <v>67</v>
      </c>
      <c r="F20" t="s">
        <v>68</v>
      </c>
      <c r="G20" t="s">
        <v>21</v>
      </c>
      <c r="H20" t="s">
        <v>22</v>
      </c>
      <c r="I20">
        <v>104</v>
      </c>
      <c r="J20">
        <v>141</v>
      </c>
      <c r="K20">
        <v>37</v>
      </c>
    </row>
    <row r="21" spans="1:11" x14ac:dyDescent="0.15">
      <c r="A21" t="s">
        <v>15</v>
      </c>
      <c r="B21" t="s">
        <v>53</v>
      </c>
      <c r="C21" t="s">
        <v>17</v>
      </c>
      <c r="D21" t="s">
        <v>69</v>
      </c>
      <c r="E21" t="s">
        <v>70</v>
      </c>
      <c r="F21" t="s">
        <v>71</v>
      </c>
      <c r="G21" t="s">
        <v>21</v>
      </c>
      <c r="H21" t="s">
        <v>22</v>
      </c>
      <c r="I21">
        <v>1</v>
      </c>
      <c r="J21">
        <v>1</v>
      </c>
      <c r="K21">
        <v>0</v>
      </c>
    </row>
    <row r="22" spans="1:11" x14ac:dyDescent="0.15">
      <c r="A22" t="s">
        <v>15</v>
      </c>
      <c r="B22" t="s">
        <v>53</v>
      </c>
      <c r="C22" t="s">
        <v>17</v>
      </c>
      <c r="D22" t="s">
        <v>72</v>
      </c>
      <c r="E22" t="s">
        <v>73</v>
      </c>
      <c r="F22" t="s">
        <v>74</v>
      </c>
      <c r="G22" t="s">
        <v>21</v>
      </c>
      <c r="H22" t="s">
        <v>22</v>
      </c>
      <c r="I22">
        <v>122</v>
      </c>
      <c r="J22">
        <v>147</v>
      </c>
      <c r="K22">
        <v>25</v>
      </c>
    </row>
    <row r="23" spans="1:11" x14ac:dyDescent="0.15">
      <c r="A23" t="s">
        <v>15</v>
      </c>
      <c r="B23" t="s">
        <v>75</v>
      </c>
      <c r="C23" t="s">
        <v>76</v>
      </c>
      <c r="D23" t="s">
        <v>77</v>
      </c>
      <c r="E23" t="s">
        <v>78</v>
      </c>
      <c r="F23" t="s">
        <v>79</v>
      </c>
      <c r="G23" t="s">
        <v>21</v>
      </c>
      <c r="H23" t="s">
        <v>22</v>
      </c>
      <c r="I23">
        <v>1</v>
      </c>
      <c r="J23">
        <v>7</v>
      </c>
      <c r="K23">
        <v>6</v>
      </c>
    </row>
    <row r="24" spans="1:11" x14ac:dyDescent="0.15">
      <c r="A24" t="s">
        <v>15</v>
      </c>
      <c r="B24" t="s">
        <v>75</v>
      </c>
      <c r="C24" t="s">
        <v>76</v>
      </c>
      <c r="D24" t="s">
        <v>80</v>
      </c>
      <c r="E24" t="s">
        <v>81</v>
      </c>
      <c r="F24" t="s">
        <v>79</v>
      </c>
      <c r="G24" t="s">
        <v>21</v>
      </c>
      <c r="H24" t="s">
        <v>22</v>
      </c>
      <c r="I24">
        <v>5</v>
      </c>
      <c r="J24">
        <v>5</v>
      </c>
      <c r="K24">
        <v>0</v>
      </c>
    </row>
    <row r="25" spans="1:11" x14ac:dyDescent="0.15">
      <c r="A25" t="s">
        <v>15</v>
      </c>
      <c r="B25" t="s">
        <v>75</v>
      </c>
      <c r="C25" t="s">
        <v>76</v>
      </c>
      <c r="D25" t="s">
        <v>82</v>
      </c>
      <c r="E25" t="s">
        <v>83</v>
      </c>
      <c r="F25" t="s">
        <v>84</v>
      </c>
      <c r="G25" t="s">
        <v>21</v>
      </c>
      <c r="H25" t="s">
        <v>22</v>
      </c>
      <c r="I25">
        <v>5</v>
      </c>
      <c r="J25">
        <v>5</v>
      </c>
      <c r="K25">
        <v>0</v>
      </c>
    </row>
    <row r="26" spans="1:11" x14ac:dyDescent="0.15">
      <c r="A26" t="s">
        <v>15</v>
      </c>
      <c r="B26" t="s">
        <v>75</v>
      </c>
      <c r="C26" t="s">
        <v>76</v>
      </c>
      <c r="D26" t="s">
        <v>85</v>
      </c>
      <c r="E26" t="s">
        <v>86</v>
      </c>
      <c r="F26" t="s">
        <v>87</v>
      </c>
      <c r="G26" t="s">
        <v>21</v>
      </c>
      <c r="H26" t="s">
        <v>22</v>
      </c>
      <c r="I26">
        <v>5</v>
      </c>
      <c r="J26">
        <v>5</v>
      </c>
      <c r="K26">
        <v>0</v>
      </c>
    </row>
    <row r="27" spans="1:11" x14ac:dyDescent="0.15">
      <c r="A27" t="s">
        <v>15</v>
      </c>
      <c r="B27" t="s">
        <v>75</v>
      </c>
      <c r="C27" t="s">
        <v>76</v>
      </c>
      <c r="D27" t="s">
        <v>88</v>
      </c>
      <c r="E27" t="s">
        <v>89</v>
      </c>
      <c r="F27" t="s">
        <v>90</v>
      </c>
      <c r="G27" t="s">
        <v>21</v>
      </c>
      <c r="H27" t="s">
        <v>22</v>
      </c>
      <c r="I27">
        <v>2</v>
      </c>
      <c r="J27">
        <v>2</v>
      </c>
      <c r="K27">
        <v>0</v>
      </c>
    </row>
    <row r="28" spans="1:11" x14ac:dyDescent="0.15">
      <c r="A28" t="s">
        <v>15</v>
      </c>
      <c r="B28" t="s">
        <v>75</v>
      </c>
      <c r="C28" t="s">
        <v>76</v>
      </c>
      <c r="D28" t="s">
        <v>91</v>
      </c>
      <c r="E28" t="s">
        <v>92</v>
      </c>
      <c r="F28" t="s">
        <v>93</v>
      </c>
      <c r="G28" t="s">
        <v>21</v>
      </c>
      <c r="H28" t="s">
        <v>22</v>
      </c>
      <c r="I28">
        <v>0</v>
      </c>
      <c r="J28">
        <v>2</v>
      </c>
      <c r="K28">
        <v>2</v>
      </c>
    </row>
    <row r="29" spans="1:11" x14ac:dyDescent="0.15">
      <c r="A29" t="s">
        <v>15</v>
      </c>
      <c r="B29" t="s">
        <v>16</v>
      </c>
      <c r="C29" t="s">
        <v>17</v>
      </c>
      <c r="D29" t="s">
        <v>94</v>
      </c>
      <c r="E29" t="s">
        <v>95</v>
      </c>
      <c r="F29" t="s">
        <v>96</v>
      </c>
      <c r="G29" t="s">
        <v>21</v>
      </c>
      <c r="H29" t="s">
        <v>22</v>
      </c>
      <c r="I29">
        <v>2</v>
      </c>
      <c r="J29">
        <v>2</v>
      </c>
      <c r="K29">
        <v>0</v>
      </c>
    </row>
    <row r="30" spans="1:11" x14ac:dyDescent="0.15">
      <c r="A30" t="s">
        <v>15</v>
      </c>
      <c r="B30" t="s">
        <v>16</v>
      </c>
      <c r="C30" t="s">
        <v>17</v>
      </c>
      <c r="D30" t="s">
        <v>97</v>
      </c>
      <c r="E30" t="s">
        <v>98</v>
      </c>
      <c r="F30" t="s">
        <v>99</v>
      </c>
      <c r="G30" t="s">
        <v>21</v>
      </c>
      <c r="H30" t="s">
        <v>22</v>
      </c>
      <c r="I30">
        <v>3</v>
      </c>
      <c r="J30">
        <v>3</v>
      </c>
      <c r="K30">
        <v>0</v>
      </c>
    </row>
    <row r="31" spans="1:11" x14ac:dyDescent="0.15">
      <c r="A31" t="s">
        <v>15</v>
      </c>
      <c r="B31" t="s">
        <v>100</v>
      </c>
      <c r="C31" t="s">
        <v>17</v>
      </c>
      <c r="D31" t="s">
        <v>101</v>
      </c>
      <c r="E31" t="s">
        <v>102</v>
      </c>
      <c r="F31" t="s">
        <v>103</v>
      </c>
      <c r="G31" t="s">
        <v>21</v>
      </c>
      <c r="H31" t="s">
        <v>22</v>
      </c>
      <c r="I31">
        <v>2</v>
      </c>
      <c r="J31">
        <v>6</v>
      </c>
      <c r="K31">
        <v>4</v>
      </c>
    </row>
    <row r="32" spans="1:11" x14ac:dyDescent="0.15">
      <c r="A32" t="s">
        <v>15</v>
      </c>
      <c r="B32" t="s">
        <v>53</v>
      </c>
      <c r="C32" t="s">
        <v>104</v>
      </c>
      <c r="D32" t="s">
        <v>105</v>
      </c>
      <c r="E32" t="s">
        <v>106</v>
      </c>
      <c r="F32" t="s">
        <v>107</v>
      </c>
      <c r="G32" t="s">
        <v>21</v>
      </c>
      <c r="H32" t="s">
        <v>22</v>
      </c>
      <c r="I32">
        <v>5</v>
      </c>
      <c r="J32">
        <v>5</v>
      </c>
      <c r="K32">
        <v>0</v>
      </c>
    </row>
    <row r="33" spans="1:11" x14ac:dyDescent="0.15">
      <c r="A33" t="s">
        <v>15</v>
      </c>
      <c r="B33" t="s">
        <v>53</v>
      </c>
      <c r="C33" t="s">
        <v>104</v>
      </c>
      <c r="D33" t="s">
        <v>108</v>
      </c>
      <c r="E33" t="s">
        <v>109</v>
      </c>
      <c r="F33" t="s">
        <v>110</v>
      </c>
      <c r="G33" t="s">
        <v>21</v>
      </c>
      <c r="H33" t="s">
        <v>22</v>
      </c>
      <c r="I33">
        <v>34</v>
      </c>
      <c r="J33">
        <v>38</v>
      </c>
      <c r="K33">
        <v>4</v>
      </c>
    </row>
    <row r="34" spans="1:11" x14ac:dyDescent="0.15">
      <c r="A34" t="s">
        <v>15</v>
      </c>
      <c r="B34" t="s">
        <v>53</v>
      </c>
      <c r="C34" t="s">
        <v>104</v>
      </c>
      <c r="D34" t="s">
        <v>111</v>
      </c>
      <c r="E34" t="s">
        <v>112</v>
      </c>
      <c r="F34" t="s">
        <v>113</v>
      </c>
      <c r="G34" t="s">
        <v>21</v>
      </c>
      <c r="H34" t="s">
        <v>22</v>
      </c>
      <c r="I34">
        <v>1</v>
      </c>
      <c r="J34">
        <v>1</v>
      </c>
      <c r="K34">
        <v>0</v>
      </c>
    </row>
    <row r="35" spans="1:11" x14ac:dyDescent="0.15">
      <c r="A35" t="s">
        <v>15</v>
      </c>
      <c r="B35" t="s">
        <v>114</v>
      </c>
      <c r="C35" t="s">
        <v>104</v>
      </c>
      <c r="D35" t="s">
        <v>115</v>
      </c>
      <c r="E35" t="s">
        <v>116</v>
      </c>
      <c r="F35" t="s">
        <v>117</v>
      </c>
      <c r="G35" t="s">
        <v>21</v>
      </c>
      <c r="H35" t="s">
        <v>22</v>
      </c>
      <c r="I35">
        <v>5</v>
      </c>
      <c r="J35">
        <v>5</v>
      </c>
      <c r="K35">
        <v>0</v>
      </c>
    </row>
    <row r="36" spans="1:11" x14ac:dyDescent="0.15">
      <c r="A36" t="s">
        <v>15</v>
      </c>
      <c r="B36" t="s">
        <v>114</v>
      </c>
      <c r="C36" t="s">
        <v>104</v>
      </c>
      <c r="D36" t="s">
        <v>118</v>
      </c>
      <c r="E36" t="s">
        <v>119</v>
      </c>
      <c r="F36" t="s">
        <v>120</v>
      </c>
      <c r="G36" t="s">
        <v>21</v>
      </c>
      <c r="H36" t="s">
        <v>22</v>
      </c>
      <c r="I36">
        <v>1</v>
      </c>
      <c r="J36">
        <v>1</v>
      </c>
      <c r="K36">
        <v>0</v>
      </c>
    </row>
    <row r="37" spans="1:11" x14ac:dyDescent="0.15">
      <c r="A37" t="s">
        <v>15</v>
      </c>
      <c r="B37" t="s">
        <v>114</v>
      </c>
      <c r="C37" t="s">
        <v>104</v>
      </c>
      <c r="D37" t="s">
        <v>121</v>
      </c>
      <c r="E37" t="s">
        <v>122</v>
      </c>
      <c r="F37" t="s">
        <v>123</v>
      </c>
      <c r="G37" t="s">
        <v>21</v>
      </c>
      <c r="H37" t="s">
        <v>22</v>
      </c>
      <c r="I37">
        <v>4</v>
      </c>
      <c r="J37">
        <v>4</v>
      </c>
      <c r="K37">
        <v>0</v>
      </c>
    </row>
    <row r="38" spans="1:11" x14ac:dyDescent="0.15">
      <c r="A38" t="s">
        <v>15</v>
      </c>
      <c r="B38" t="s">
        <v>114</v>
      </c>
      <c r="C38" t="s">
        <v>104</v>
      </c>
      <c r="D38" t="s">
        <v>124</v>
      </c>
      <c r="E38" t="s">
        <v>125</v>
      </c>
      <c r="F38" t="s">
        <v>126</v>
      </c>
      <c r="G38" t="s">
        <v>21</v>
      </c>
      <c r="H38" t="s">
        <v>22</v>
      </c>
      <c r="I38">
        <v>665</v>
      </c>
      <c r="J38">
        <v>682</v>
      </c>
      <c r="K38">
        <v>17</v>
      </c>
    </row>
    <row r="39" spans="1:11" x14ac:dyDescent="0.15">
      <c r="A39" t="s">
        <v>15</v>
      </c>
      <c r="B39" t="s">
        <v>114</v>
      </c>
      <c r="C39" t="s">
        <v>104</v>
      </c>
      <c r="D39" t="s">
        <v>127</v>
      </c>
      <c r="E39" t="s">
        <v>128</v>
      </c>
      <c r="F39" t="s">
        <v>129</v>
      </c>
      <c r="G39" t="s">
        <v>21</v>
      </c>
      <c r="H39" t="s">
        <v>22</v>
      </c>
      <c r="I39">
        <v>12</v>
      </c>
      <c r="J39">
        <v>15</v>
      </c>
      <c r="K39">
        <v>3</v>
      </c>
    </row>
    <row r="40" spans="1:11" x14ac:dyDescent="0.15">
      <c r="A40" t="s">
        <v>15</v>
      </c>
      <c r="B40" t="s">
        <v>114</v>
      </c>
      <c r="C40" t="s">
        <v>104</v>
      </c>
      <c r="D40" t="s">
        <v>130</v>
      </c>
      <c r="E40" t="s">
        <v>131</v>
      </c>
      <c r="F40" t="s">
        <v>132</v>
      </c>
      <c r="G40" t="s">
        <v>21</v>
      </c>
      <c r="H40" t="s">
        <v>22</v>
      </c>
      <c r="I40">
        <v>4</v>
      </c>
      <c r="J40">
        <v>4</v>
      </c>
      <c r="K40">
        <v>0</v>
      </c>
    </row>
    <row r="41" spans="1:11" x14ac:dyDescent="0.15">
      <c r="A41" t="s">
        <v>15</v>
      </c>
      <c r="B41" t="s">
        <v>114</v>
      </c>
      <c r="C41" t="s">
        <v>104</v>
      </c>
      <c r="D41" t="s">
        <v>133</v>
      </c>
      <c r="E41" t="s">
        <v>134</v>
      </c>
      <c r="F41" t="s">
        <v>132</v>
      </c>
      <c r="G41" t="s">
        <v>21</v>
      </c>
      <c r="H41" t="s">
        <v>22</v>
      </c>
      <c r="I41">
        <v>8</v>
      </c>
      <c r="J41">
        <v>8</v>
      </c>
      <c r="K41">
        <v>0</v>
      </c>
    </row>
    <row r="42" spans="1:11" x14ac:dyDescent="0.15">
      <c r="A42" t="s">
        <v>15</v>
      </c>
      <c r="B42" t="s">
        <v>114</v>
      </c>
      <c r="C42" t="s">
        <v>104</v>
      </c>
      <c r="D42" t="s">
        <v>135</v>
      </c>
      <c r="E42" t="s">
        <v>136</v>
      </c>
      <c r="F42" t="s">
        <v>137</v>
      </c>
      <c r="G42" t="s">
        <v>21</v>
      </c>
      <c r="H42" t="s">
        <v>22</v>
      </c>
      <c r="I42">
        <v>9</v>
      </c>
      <c r="J42">
        <v>9</v>
      </c>
      <c r="K42">
        <v>0</v>
      </c>
    </row>
    <row r="43" spans="1:11" x14ac:dyDescent="0.15">
      <c r="A43" t="s">
        <v>138</v>
      </c>
      <c r="B43" t="s">
        <v>139</v>
      </c>
      <c r="C43" t="s">
        <v>140</v>
      </c>
      <c r="D43" t="s">
        <v>141</v>
      </c>
      <c r="E43" t="s">
        <v>142</v>
      </c>
      <c r="F43" t="s">
        <v>141</v>
      </c>
      <c r="G43" t="s">
        <v>21</v>
      </c>
      <c r="H43" t="s">
        <v>22</v>
      </c>
      <c r="I43">
        <v>2</v>
      </c>
      <c r="J43">
        <v>2</v>
      </c>
      <c r="K43">
        <v>0</v>
      </c>
    </row>
    <row r="44" spans="1:11" x14ac:dyDescent="0.15">
      <c r="A44" t="s">
        <v>143</v>
      </c>
      <c r="B44" t="s">
        <v>144</v>
      </c>
      <c r="C44" t="s">
        <v>145</v>
      </c>
      <c r="D44" t="s">
        <v>146</v>
      </c>
      <c r="E44" t="s">
        <v>147</v>
      </c>
      <c r="F44" t="s">
        <v>146</v>
      </c>
      <c r="G44" t="s">
        <v>21</v>
      </c>
      <c r="H44" t="s">
        <v>22</v>
      </c>
      <c r="I44">
        <v>1</v>
      </c>
      <c r="J44">
        <v>1</v>
      </c>
      <c r="K44">
        <v>0</v>
      </c>
    </row>
    <row r="45" spans="1:11" x14ac:dyDescent="0.15">
      <c r="A45" t="s">
        <v>15</v>
      </c>
      <c r="B45" t="s">
        <v>148</v>
      </c>
      <c r="C45" t="s">
        <v>76</v>
      </c>
      <c r="D45" t="s">
        <v>149</v>
      </c>
      <c r="E45" t="s">
        <v>150</v>
      </c>
      <c r="F45" t="s">
        <v>151</v>
      </c>
      <c r="G45" t="s">
        <v>21</v>
      </c>
      <c r="H45" t="s">
        <v>22</v>
      </c>
      <c r="I45">
        <v>5</v>
      </c>
      <c r="J45">
        <v>5</v>
      </c>
      <c r="K45">
        <v>0</v>
      </c>
    </row>
    <row r="46" spans="1:11" x14ac:dyDescent="0.15">
      <c r="A46" t="s">
        <v>15</v>
      </c>
      <c r="B46" t="s">
        <v>148</v>
      </c>
      <c r="C46" t="s">
        <v>76</v>
      </c>
      <c r="D46" t="s">
        <v>152</v>
      </c>
      <c r="E46" t="s">
        <v>153</v>
      </c>
      <c r="F46" t="s">
        <v>154</v>
      </c>
      <c r="G46" t="s">
        <v>21</v>
      </c>
      <c r="H46" t="s">
        <v>22</v>
      </c>
      <c r="I46">
        <v>3</v>
      </c>
      <c r="J46">
        <v>3</v>
      </c>
      <c r="K46">
        <v>0</v>
      </c>
    </row>
    <row r="47" spans="1:11" x14ac:dyDescent="0.15">
      <c r="A47" t="s">
        <v>15</v>
      </c>
      <c r="B47" t="s">
        <v>148</v>
      </c>
      <c r="C47" t="s">
        <v>76</v>
      </c>
      <c r="D47" t="s">
        <v>155</v>
      </c>
      <c r="E47" t="s">
        <v>156</v>
      </c>
      <c r="F47" t="s">
        <v>157</v>
      </c>
      <c r="G47" t="s">
        <v>21</v>
      </c>
      <c r="H47" t="s">
        <v>22</v>
      </c>
      <c r="I47">
        <v>1</v>
      </c>
      <c r="J47">
        <v>1</v>
      </c>
      <c r="K47">
        <v>0</v>
      </c>
    </row>
    <row r="48" spans="1:11" x14ac:dyDescent="0.15">
      <c r="A48" t="s">
        <v>15</v>
      </c>
      <c r="B48" t="s">
        <v>53</v>
      </c>
      <c r="C48" t="s">
        <v>104</v>
      </c>
      <c r="D48" t="s">
        <v>158</v>
      </c>
      <c r="E48" t="s">
        <v>159</v>
      </c>
      <c r="F48" t="s">
        <v>160</v>
      </c>
      <c r="G48" t="s">
        <v>21</v>
      </c>
      <c r="H48" t="s">
        <v>22</v>
      </c>
      <c r="I48">
        <v>33</v>
      </c>
      <c r="J48">
        <v>54</v>
      </c>
      <c r="K48">
        <v>21</v>
      </c>
    </row>
    <row r="49" spans="1:11" x14ac:dyDescent="0.15">
      <c r="A49" t="s">
        <v>15</v>
      </c>
      <c r="B49" t="s">
        <v>53</v>
      </c>
      <c r="C49" t="s">
        <v>104</v>
      </c>
      <c r="D49" t="s">
        <v>161</v>
      </c>
      <c r="E49" t="s">
        <v>162</v>
      </c>
      <c r="F49" t="s">
        <v>163</v>
      </c>
      <c r="G49" t="s">
        <v>21</v>
      </c>
      <c r="H49" t="s">
        <v>22</v>
      </c>
      <c r="I49">
        <v>30</v>
      </c>
      <c r="J49">
        <v>41</v>
      </c>
      <c r="K49">
        <v>11</v>
      </c>
    </row>
    <row r="50" spans="1:11" x14ac:dyDescent="0.15">
      <c r="A50" t="s">
        <v>15</v>
      </c>
      <c r="B50" t="s">
        <v>53</v>
      </c>
      <c r="C50" t="s">
        <v>104</v>
      </c>
      <c r="D50" t="s">
        <v>164</v>
      </c>
      <c r="E50" t="s">
        <v>165</v>
      </c>
      <c r="F50" t="s">
        <v>166</v>
      </c>
      <c r="G50" t="s">
        <v>21</v>
      </c>
      <c r="H50" t="s">
        <v>22</v>
      </c>
      <c r="I50">
        <v>0</v>
      </c>
      <c r="J50">
        <v>7</v>
      </c>
      <c r="K50">
        <v>7</v>
      </c>
    </row>
    <row r="51" spans="1:11" x14ac:dyDescent="0.15">
      <c r="A51" t="s">
        <v>15</v>
      </c>
      <c r="B51" t="s">
        <v>75</v>
      </c>
      <c r="C51" t="s">
        <v>76</v>
      </c>
      <c r="D51" t="s">
        <v>167</v>
      </c>
      <c r="E51" t="s">
        <v>168</v>
      </c>
      <c r="F51" t="s">
        <v>169</v>
      </c>
      <c r="G51" t="s">
        <v>21</v>
      </c>
      <c r="H51" t="s">
        <v>22</v>
      </c>
      <c r="I51">
        <v>0</v>
      </c>
      <c r="J51">
        <v>2</v>
      </c>
      <c r="K51">
        <v>2</v>
      </c>
    </row>
    <row r="52" spans="1:11" x14ac:dyDescent="0.15">
      <c r="A52" t="s">
        <v>15</v>
      </c>
      <c r="B52" t="s">
        <v>75</v>
      </c>
      <c r="C52" t="s">
        <v>76</v>
      </c>
      <c r="D52" t="s">
        <v>170</v>
      </c>
      <c r="E52" t="s">
        <v>171</v>
      </c>
      <c r="F52" t="s">
        <v>172</v>
      </c>
      <c r="G52" t="s">
        <v>21</v>
      </c>
      <c r="H52" t="s">
        <v>22</v>
      </c>
      <c r="I52">
        <v>1</v>
      </c>
      <c r="J52">
        <v>1</v>
      </c>
      <c r="K52">
        <v>0</v>
      </c>
    </row>
    <row r="53" spans="1:11" x14ac:dyDescent="0.15">
      <c r="A53" t="s">
        <v>15</v>
      </c>
      <c r="B53" t="s">
        <v>75</v>
      </c>
      <c r="C53" t="s">
        <v>76</v>
      </c>
      <c r="D53" t="s">
        <v>173</v>
      </c>
      <c r="E53" t="s">
        <v>174</v>
      </c>
      <c r="F53" t="s">
        <v>175</v>
      </c>
      <c r="G53" t="s">
        <v>21</v>
      </c>
      <c r="H53" t="s">
        <v>22</v>
      </c>
      <c r="I53">
        <v>4</v>
      </c>
      <c r="J53">
        <v>6</v>
      </c>
      <c r="K53">
        <v>2</v>
      </c>
    </row>
    <row r="54" spans="1:11" x14ac:dyDescent="0.15">
      <c r="A54" t="s">
        <v>143</v>
      </c>
      <c r="B54" t="s">
        <v>176</v>
      </c>
      <c r="C54" t="s">
        <v>145</v>
      </c>
      <c r="D54" t="s">
        <v>177</v>
      </c>
      <c r="E54" t="s">
        <v>178</v>
      </c>
      <c r="F54" t="s">
        <v>177</v>
      </c>
      <c r="G54" t="s">
        <v>21</v>
      </c>
      <c r="H54" t="s">
        <v>22</v>
      </c>
      <c r="I54">
        <v>1</v>
      </c>
      <c r="J54">
        <v>1</v>
      </c>
      <c r="K54">
        <v>0</v>
      </c>
    </row>
    <row r="55" spans="1:11" x14ac:dyDescent="0.15">
      <c r="A55" t="s">
        <v>138</v>
      </c>
      <c r="B55" t="s">
        <v>139</v>
      </c>
      <c r="C55" t="s">
        <v>140</v>
      </c>
      <c r="D55" t="s">
        <v>179</v>
      </c>
      <c r="E55" t="s">
        <v>180</v>
      </c>
      <c r="F55" t="s">
        <v>179</v>
      </c>
      <c r="G55" t="s">
        <v>181</v>
      </c>
      <c r="H55" t="s">
        <v>22</v>
      </c>
      <c r="I55">
        <v>2</v>
      </c>
      <c r="J55">
        <v>2</v>
      </c>
      <c r="K55">
        <v>0</v>
      </c>
    </row>
    <row r="56" spans="1:11" x14ac:dyDescent="0.15">
      <c r="A56" t="s">
        <v>138</v>
      </c>
      <c r="B56" t="s">
        <v>139</v>
      </c>
      <c r="C56" t="s">
        <v>140</v>
      </c>
      <c r="D56" t="s">
        <v>182</v>
      </c>
      <c r="E56" t="s">
        <v>183</v>
      </c>
      <c r="F56" t="s">
        <v>182</v>
      </c>
      <c r="G56" t="s">
        <v>181</v>
      </c>
      <c r="H56" t="s">
        <v>22</v>
      </c>
      <c r="I56">
        <v>1</v>
      </c>
      <c r="J56">
        <v>1</v>
      </c>
      <c r="K56">
        <v>0</v>
      </c>
    </row>
    <row r="57" spans="1:11" x14ac:dyDescent="0.15">
      <c r="A57" t="s">
        <v>184</v>
      </c>
      <c r="B57" t="s">
        <v>185</v>
      </c>
      <c r="C57" t="s">
        <v>186</v>
      </c>
      <c r="D57" t="s">
        <v>187</v>
      </c>
      <c r="E57" t="s">
        <v>188</v>
      </c>
      <c r="F57" t="s">
        <v>187</v>
      </c>
      <c r="G57" t="s">
        <v>21</v>
      </c>
      <c r="H57" t="s">
        <v>22</v>
      </c>
      <c r="I57">
        <v>0</v>
      </c>
      <c r="J57">
        <v>1</v>
      </c>
      <c r="K57">
        <v>1</v>
      </c>
    </row>
    <row r="58" spans="1:11" x14ac:dyDescent="0.15">
      <c r="A58" t="s">
        <v>138</v>
      </c>
      <c r="B58" t="s">
        <v>189</v>
      </c>
      <c r="C58" t="s">
        <v>190</v>
      </c>
      <c r="D58" t="s">
        <v>191</v>
      </c>
      <c r="E58" t="s">
        <v>192</v>
      </c>
      <c r="F58" t="s">
        <v>191</v>
      </c>
      <c r="G58" t="s">
        <v>21</v>
      </c>
      <c r="H58" t="s">
        <v>22</v>
      </c>
      <c r="I58">
        <v>0</v>
      </c>
      <c r="J58">
        <v>44</v>
      </c>
      <c r="K58">
        <v>44</v>
      </c>
    </row>
    <row r="59" spans="1:11" x14ac:dyDescent="0.15">
      <c r="A59" t="s">
        <v>138</v>
      </c>
      <c r="B59" t="s">
        <v>189</v>
      </c>
      <c r="C59" t="s">
        <v>190</v>
      </c>
      <c r="D59" t="s">
        <v>193</v>
      </c>
      <c r="E59" t="s">
        <v>194</v>
      </c>
      <c r="F59" t="s">
        <v>193</v>
      </c>
      <c r="G59" t="s">
        <v>21</v>
      </c>
      <c r="H59" t="s">
        <v>22</v>
      </c>
      <c r="I59">
        <v>50</v>
      </c>
      <c r="J59">
        <v>50</v>
      </c>
      <c r="K59">
        <v>0</v>
      </c>
    </row>
    <row r="60" spans="1:11" x14ac:dyDescent="0.15">
      <c r="A60" t="s">
        <v>138</v>
      </c>
      <c r="B60" t="s">
        <v>189</v>
      </c>
      <c r="C60" t="s">
        <v>195</v>
      </c>
      <c r="D60" t="s">
        <v>196</v>
      </c>
      <c r="E60" t="s">
        <v>197</v>
      </c>
      <c r="F60" t="s">
        <v>196</v>
      </c>
      <c r="G60" t="s">
        <v>21</v>
      </c>
      <c r="H60" t="s">
        <v>22</v>
      </c>
      <c r="I60">
        <v>1</v>
      </c>
      <c r="J60">
        <v>1</v>
      </c>
      <c r="K60">
        <v>0</v>
      </c>
    </row>
    <row r="61" spans="1:11" x14ac:dyDescent="0.15">
      <c r="A61" t="s">
        <v>138</v>
      </c>
      <c r="B61" t="s">
        <v>189</v>
      </c>
      <c r="C61" t="s">
        <v>190</v>
      </c>
      <c r="D61" t="s">
        <v>198</v>
      </c>
      <c r="E61" t="s">
        <v>199</v>
      </c>
      <c r="F61" t="s">
        <v>198</v>
      </c>
      <c r="G61" t="s">
        <v>21</v>
      </c>
      <c r="H61" t="s">
        <v>22</v>
      </c>
      <c r="I61">
        <v>25</v>
      </c>
      <c r="J61">
        <v>25</v>
      </c>
      <c r="K61">
        <v>0</v>
      </c>
    </row>
    <row r="62" spans="1:11" x14ac:dyDescent="0.15">
      <c r="A62" t="s">
        <v>138</v>
      </c>
      <c r="B62" t="s">
        <v>189</v>
      </c>
      <c r="C62" t="s">
        <v>200</v>
      </c>
      <c r="D62" t="s">
        <v>201</v>
      </c>
      <c r="E62" t="s">
        <v>202</v>
      </c>
      <c r="F62" t="s">
        <v>201</v>
      </c>
      <c r="G62" t="s">
        <v>21</v>
      </c>
      <c r="H62" t="s">
        <v>22</v>
      </c>
      <c r="I62">
        <v>1</v>
      </c>
      <c r="J62">
        <v>1</v>
      </c>
      <c r="K62">
        <v>0</v>
      </c>
    </row>
    <row r="63" spans="1:11" x14ac:dyDescent="0.15">
      <c r="A63" t="s">
        <v>138</v>
      </c>
      <c r="B63" t="s">
        <v>189</v>
      </c>
      <c r="C63" t="s">
        <v>195</v>
      </c>
      <c r="D63" t="s">
        <v>203</v>
      </c>
      <c r="E63" t="s">
        <v>204</v>
      </c>
      <c r="F63" t="s">
        <v>203</v>
      </c>
      <c r="G63" t="s">
        <v>21</v>
      </c>
      <c r="H63" t="s">
        <v>22</v>
      </c>
      <c r="I63">
        <v>10</v>
      </c>
      <c r="J63">
        <v>22</v>
      </c>
      <c r="K63">
        <v>12</v>
      </c>
    </row>
    <row r="64" spans="1:11" x14ac:dyDescent="0.15">
      <c r="A64" t="s">
        <v>138</v>
      </c>
      <c r="B64" t="s">
        <v>189</v>
      </c>
      <c r="C64" t="s">
        <v>190</v>
      </c>
      <c r="D64" t="s">
        <v>205</v>
      </c>
      <c r="E64" t="s">
        <v>206</v>
      </c>
      <c r="F64" t="s">
        <v>205</v>
      </c>
      <c r="G64" t="s">
        <v>21</v>
      </c>
      <c r="H64" t="s">
        <v>22</v>
      </c>
      <c r="I64">
        <v>2</v>
      </c>
      <c r="J64">
        <v>2</v>
      </c>
      <c r="K64">
        <v>0</v>
      </c>
    </row>
    <row r="65" spans="1:11" x14ac:dyDescent="0.15">
      <c r="A65" t="s">
        <v>138</v>
      </c>
      <c r="B65" t="s">
        <v>189</v>
      </c>
      <c r="C65" t="s">
        <v>195</v>
      </c>
      <c r="D65" t="s">
        <v>207</v>
      </c>
      <c r="E65" t="s">
        <v>208</v>
      </c>
      <c r="F65" t="s">
        <v>207</v>
      </c>
      <c r="G65" t="s">
        <v>21</v>
      </c>
      <c r="H65" t="s">
        <v>22</v>
      </c>
      <c r="I65">
        <v>2</v>
      </c>
      <c r="J65">
        <v>2</v>
      </c>
      <c r="K65">
        <v>0</v>
      </c>
    </row>
    <row r="66" spans="1:11" x14ac:dyDescent="0.15">
      <c r="A66" t="s">
        <v>138</v>
      </c>
      <c r="B66" t="s">
        <v>189</v>
      </c>
      <c r="C66" t="s">
        <v>195</v>
      </c>
      <c r="D66" t="s">
        <v>209</v>
      </c>
      <c r="E66" t="s">
        <v>210</v>
      </c>
      <c r="F66" t="s">
        <v>209</v>
      </c>
      <c r="G66" t="s">
        <v>21</v>
      </c>
      <c r="H66" t="s">
        <v>22</v>
      </c>
      <c r="I66">
        <v>2</v>
      </c>
      <c r="J66">
        <v>2</v>
      </c>
      <c r="K66">
        <v>0</v>
      </c>
    </row>
    <row r="67" spans="1:11" x14ac:dyDescent="0.15">
      <c r="A67" t="s">
        <v>138</v>
      </c>
      <c r="B67" t="s">
        <v>189</v>
      </c>
      <c r="C67" t="s">
        <v>195</v>
      </c>
      <c r="D67" t="s">
        <v>211</v>
      </c>
      <c r="E67" t="s">
        <v>212</v>
      </c>
      <c r="F67" t="s">
        <v>211</v>
      </c>
      <c r="G67" t="s">
        <v>21</v>
      </c>
      <c r="H67" t="s">
        <v>22</v>
      </c>
      <c r="I67">
        <v>2</v>
      </c>
      <c r="J67">
        <v>2</v>
      </c>
      <c r="K67">
        <v>0</v>
      </c>
    </row>
    <row r="68" spans="1:11" x14ac:dyDescent="0.15">
      <c r="A68" t="s">
        <v>138</v>
      </c>
      <c r="B68" t="s">
        <v>139</v>
      </c>
      <c r="C68" t="s">
        <v>213</v>
      </c>
      <c r="D68" t="s">
        <v>214</v>
      </c>
      <c r="E68" t="s">
        <v>215</v>
      </c>
      <c r="F68" t="s">
        <v>216</v>
      </c>
      <c r="G68" t="s">
        <v>217</v>
      </c>
      <c r="H68" t="s">
        <v>22</v>
      </c>
      <c r="I68">
        <v>2</v>
      </c>
      <c r="J68">
        <v>2</v>
      </c>
      <c r="K68">
        <v>0</v>
      </c>
    </row>
    <row r="69" spans="1:11" x14ac:dyDescent="0.15">
      <c r="A69" t="s">
        <v>218</v>
      </c>
      <c r="B69" t="s">
        <v>219</v>
      </c>
      <c r="C69" t="s">
        <v>145</v>
      </c>
      <c r="D69" t="s">
        <v>220</v>
      </c>
      <c r="E69" t="s">
        <v>221</v>
      </c>
      <c r="F69" t="s">
        <v>222</v>
      </c>
      <c r="G69" t="s">
        <v>223</v>
      </c>
      <c r="H69" t="s">
        <v>22</v>
      </c>
      <c r="I69">
        <v>1</v>
      </c>
      <c r="J69">
        <v>1</v>
      </c>
      <c r="K69">
        <v>0</v>
      </c>
    </row>
    <row r="70" spans="1:11" x14ac:dyDescent="0.15">
      <c r="A70" t="s">
        <v>218</v>
      </c>
      <c r="B70" t="s">
        <v>219</v>
      </c>
      <c r="C70" t="s">
        <v>145</v>
      </c>
      <c r="D70" t="s">
        <v>224</v>
      </c>
      <c r="E70" t="s">
        <v>225</v>
      </c>
      <c r="F70" t="s">
        <v>226</v>
      </c>
      <c r="G70" t="s">
        <v>217</v>
      </c>
      <c r="H70" t="s">
        <v>22</v>
      </c>
      <c r="I70">
        <v>3</v>
      </c>
      <c r="J70">
        <v>3</v>
      </c>
      <c r="K70">
        <v>0</v>
      </c>
    </row>
    <row r="71" spans="1:11" x14ac:dyDescent="0.15">
      <c r="A71" t="s">
        <v>218</v>
      </c>
      <c r="B71" t="s">
        <v>219</v>
      </c>
      <c r="C71" t="s">
        <v>145</v>
      </c>
      <c r="D71" t="s">
        <v>227</v>
      </c>
      <c r="E71" t="s">
        <v>228</v>
      </c>
      <c r="F71" t="s">
        <v>229</v>
      </c>
      <c r="G71" t="s">
        <v>217</v>
      </c>
      <c r="H71" t="s">
        <v>22</v>
      </c>
      <c r="I71">
        <v>1</v>
      </c>
      <c r="J71">
        <v>1</v>
      </c>
      <c r="K71">
        <v>0</v>
      </c>
    </row>
    <row r="72" spans="1:11" x14ac:dyDescent="0.15">
      <c r="A72" t="s">
        <v>218</v>
      </c>
      <c r="B72" t="s">
        <v>219</v>
      </c>
      <c r="C72" t="s">
        <v>145</v>
      </c>
      <c r="D72" t="s">
        <v>230</v>
      </c>
      <c r="E72" t="s">
        <v>231</v>
      </c>
      <c r="F72" t="s">
        <v>232</v>
      </c>
      <c r="G72" t="s">
        <v>217</v>
      </c>
      <c r="H72" t="s">
        <v>22</v>
      </c>
      <c r="I72">
        <v>2</v>
      </c>
      <c r="J72">
        <v>2</v>
      </c>
      <c r="K72">
        <v>0</v>
      </c>
    </row>
    <row r="73" spans="1:11" x14ac:dyDescent="0.15">
      <c r="A73" t="s">
        <v>218</v>
      </c>
      <c r="B73" t="s">
        <v>219</v>
      </c>
      <c r="C73" t="s">
        <v>145</v>
      </c>
      <c r="D73" t="s">
        <v>233</v>
      </c>
      <c r="E73" t="s">
        <v>234</v>
      </c>
      <c r="F73" t="s">
        <v>232</v>
      </c>
      <c r="G73" t="s">
        <v>235</v>
      </c>
      <c r="H73" t="s">
        <v>22</v>
      </c>
      <c r="I73">
        <v>3</v>
      </c>
      <c r="J73">
        <v>3</v>
      </c>
      <c r="K73">
        <v>0</v>
      </c>
    </row>
    <row r="74" spans="1:11" x14ac:dyDescent="0.15">
      <c r="A74" t="s">
        <v>218</v>
      </c>
      <c r="B74" t="s">
        <v>219</v>
      </c>
      <c r="C74" t="s">
        <v>145</v>
      </c>
      <c r="D74" t="s">
        <v>236</v>
      </c>
      <c r="E74" t="s">
        <v>237</v>
      </c>
      <c r="F74" t="s">
        <v>232</v>
      </c>
      <c r="G74" t="s">
        <v>238</v>
      </c>
      <c r="H74" t="s">
        <v>22</v>
      </c>
      <c r="I74">
        <v>2</v>
      </c>
      <c r="J74">
        <v>2</v>
      </c>
      <c r="K74">
        <v>0</v>
      </c>
    </row>
    <row r="75" spans="1:11" x14ac:dyDescent="0.15">
      <c r="A75" t="s">
        <v>218</v>
      </c>
      <c r="B75" t="s">
        <v>219</v>
      </c>
      <c r="C75" t="s">
        <v>145</v>
      </c>
      <c r="D75" t="s">
        <v>239</v>
      </c>
      <c r="E75" t="s">
        <v>240</v>
      </c>
      <c r="F75" t="s">
        <v>241</v>
      </c>
      <c r="G75" t="s">
        <v>217</v>
      </c>
      <c r="H75" t="s">
        <v>22</v>
      </c>
      <c r="I75">
        <v>5</v>
      </c>
      <c r="J75">
        <v>5</v>
      </c>
      <c r="K75">
        <v>0</v>
      </c>
    </row>
    <row r="76" spans="1:11" x14ac:dyDescent="0.15">
      <c r="A76" t="s">
        <v>218</v>
      </c>
      <c r="B76" t="s">
        <v>219</v>
      </c>
      <c r="C76" t="s">
        <v>145</v>
      </c>
      <c r="D76" t="s">
        <v>242</v>
      </c>
      <c r="E76" t="s">
        <v>243</v>
      </c>
      <c r="F76" t="s">
        <v>241</v>
      </c>
      <c r="G76" t="s">
        <v>238</v>
      </c>
      <c r="H76" t="s">
        <v>22</v>
      </c>
      <c r="I76">
        <v>1</v>
      </c>
      <c r="J76">
        <v>1</v>
      </c>
      <c r="K76">
        <v>0</v>
      </c>
    </row>
    <row r="77" spans="1:11" x14ac:dyDescent="0.15">
      <c r="A77" t="s">
        <v>218</v>
      </c>
      <c r="B77" t="s">
        <v>219</v>
      </c>
      <c r="C77" t="s">
        <v>145</v>
      </c>
      <c r="D77" t="s">
        <v>244</v>
      </c>
      <c r="E77" t="s">
        <v>245</v>
      </c>
      <c r="F77" t="s">
        <v>246</v>
      </c>
      <c r="G77" t="s">
        <v>247</v>
      </c>
      <c r="H77" t="s">
        <v>22</v>
      </c>
      <c r="I77">
        <v>1</v>
      </c>
      <c r="J77">
        <v>1</v>
      </c>
      <c r="K77">
        <v>0</v>
      </c>
    </row>
    <row r="78" spans="1:11" x14ac:dyDescent="0.15">
      <c r="A78" t="s">
        <v>218</v>
      </c>
      <c r="B78" t="s">
        <v>219</v>
      </c>
      <c r="C78" t="s">
        <v>145</v>
      </c>
      <c r="D78" t="s">
        <v>248</v>
      </c>
      <c r="E78" t="s">
        <v>249</v>
      </c>
      <c r="F78" t="s">
        <v>250</v>
      </c>
      <c r="G78" t="s">
        <v>217</v>
      </c>
      <c r="H78" t="s">
        <v>22</v>
      </c>
      <c r="I78">
        <v>1</v>
      </c>
      <c r="J78">
        <v>1</v>
      </c>
      <c r="K78">
        <v>0</v>
      </c>
    </row>
    <row r="79" spans="1:11" x14ac:dyDescent="0.15">
      <c r="A79" t="s">
        <v>218</v>
      </c>
      <c r="B79" t="s">
        <v>219</v>
      </c>
      <c r="C79" t="s">
        <v>145</v>
      </c>
      <c r="D79" t="s">
        <v>251</v>
      </c>
      <c r="E79" t="s">
        <v>252</v>
      </c>
      <c r="F79" t="s">
        <v>253</v>
      </c>
      <c r="G79" t="s">
        <v>254</v>
      </c>
      <c r="H79" t="s">
        <v>22</v>
      </c>
      <c r="I79">
        <v>1</v>
      </c>
      <c r="J79">
        <v>1</v>
      </c>
      <c r="K79">
        <v>0</v>
      </c>
    </row>
    <row r="80" spans="1:11" x14ac:dyDescent="0.15">
      <c r="A80" t="s">
        <v>218</v>
      </c>
      <c r="B80" t="s">
        <v>219</v>
      </c>
      <c r="C80" t="s">
        <v>145</v>
      </c>
      <c r="D80" t="s">
        <v>255</v>
      </c>
      <c r="E80" t="s">
        <v>256</v>
      </c>
      <c r="F80" t="s">
        <v>253</v>
      </c>
      <c r="G80" t="s">
        <v>257</v>
      </c>
      <c r="H80" t="s">
        <v>22</v>
      </c>
      <c r="I80">
        <v>1</v>
      </c>
      <c r="J80">
        <v>1</v>
      </c>
      <c r="K80">
        <v>0</v>
      </c>
    </row>
    <row r="81" spans="1:11" x14ac:dyDescent="0.15">
      <c r="A81" t="s">
        <v>218</v>
      </c>
      <c r="B81" t="s">
        <v>219</v>
      </c>
      <c r="C81" t="s">
        <v>145</v>
      </c>
      <c r="D81" t="s">
        <v>258</v>
      </c>
      <c r="E81" t="s">
        <v>259</v>
      </c>
      <c r="F81" t="s">
        <v>253</v>
      </c>
      <c r="G81" t="s">
        <v>247</v>
      </c>
      <c r="H81" t="s">
        <v>22</v>
      </c>
      <c r="I81">
        <v>1</v>
      </c>
      <c r="J81">
        <v>1</v>
      </c>
      <c r="K81">
        <v>0</v>
      </c>
    </row>
    <row r="82" spans="1:11" x14ac:dyDescent="0.15">
      <c r="A82" t="s">
        <v>184</v>
      </c>
      <c r="B82" t="s">
        <v>185</v>
      </c>
      <c r="C82" t="s">
        <v>190</v>
      </c>
      <c r="D82" t="s">
        <v>260</v>
      </c>
      <c r="E82" t="s">
        <v>261</v>
      </c>
      <c r="F82" t="s">
        <v>262</v>
      </c>
      <c r="G82" t="s">
        <v>21</v>
      </c>
      <c r="H82" t="s">
        <v>22</v>
      </c>
      <c r="I82">
        <v>2</v>
      </c>
      <c r="J82">
        <v>4</v>
      </c>
      <c r="K82">
        <v>2</v>
      </c>
    </row>
    <row r="83" spans="1:11" x14ac:dyDescent="0.15">
      <c r="A83" t="s">
        <v>184</v>
      </c>
      <c r="B83" t="s">
        <v>185</v>
      </c>
      <c r="C83" t="s">
        <v>190</v>
      </c>
      <c r="D83" t="s">
        <v>263</v>
      </c>
      <c r="E83" t="s">
        <v>264</v>
      </c>
      <c r="F83" t="s">
        <v>265</v>
      </c>
      <c r="G83" t="s">
        <v>21</v>
      </c>
      <c r="H83" t="s">
        <v>22</v>
      </c>
      <c r="I83">
        <v>0</v>
      </c>
      <c r="J83">
        <v>1</v>
      </c>
      <c r="K83">
        <v>1</v>
      </c>
    </row>
    <row r="84" spans="1:11" x14ac:dyDescent="0.15">
      <c r="A84" t="s">
        <v>184</v>
      </c>
      <c r="B84" t="s">
        <v>185</v>
      </c>
      <c r="C84" t="s">
        <v>190</v>
      </c>
      <c r="D84" t="s">
        <v>266</v>
      </c>
      <c r="E84" t="s">
        <v>267</v>
      </c>
      <c r="F84" t="s">
        <v>268</v>
      </c>
      <c r="G84" t="s">
        <v>21</v>
      </c>
      <c r="H84" t="s">
        <v>22</v>
      </c>
      <c r="I84">
        <v>17</v>
      </c>
      <c r="J84">
        <v>18</v>
      </c>
      <c r="K84">
        <v>1</v>
      </c>
    </row>
    <row r="85" spans="1:11" x14ac:dyDescent="0.15">
      <c r="A85" t="s">
        <v>184</v>
      </c>
      <c r="B85" t="s">
        <v>185</v>
      </c>
      <c r="C85" t="s">
        <v>190</v>
      </c>
      <c r="D85" t="s">
        <v>269</v>
      </c>
      <c r="E85" t="s">
        <v>270</v>
      </c>
      <c r="F85" t="s">
        <v>271</v>
      </c>
      <c r="G85" t="s">
        <v>21</v>
      </c>
      <c r="H85" t="s">
        <v>22</v>
      </c>
      <c r="I85">
        <v>9</v>
      </c>
      <c r="J85">
        <v>10</v>
      </c>
      <c r="K85">
        <v>1</v>
      </c>
    </row>
    <row r="86" spans="1:11" x14ac:dyDescent="0.15">
      <c r="A86" t="s">
        <v>184</v>
      </c>
      <c r="B86" t="s">
        <v>185</v>
      </c>
      <c r="C86" t="s">
        <v>190</v>
      </c>
      <c r="D86" t="s">
        <v>272</v>
      </c>
      <c r="E86" t="s">
        <v>273</v>
      </c>
      <c r="F86" t="s">
        <v>274</v>
      </c>
      <c r="G86" t="s">
        <v>21</v>
      </c>
      <c r="H86" t="s">
        <v>22</v>
      </c>
      <c r="I86">
        <v>1</v>
      </c>
      <c r="J86">
        <v>1</v>
      </c>
      <c r="K86">
        <v>0</v>
      </c>
    </row>
    <row r="87" spans="1:11" x14ac:dyDescent="0.15">
      <c r="A87" t="s">
        <v>184</v>
      </c>
      <c r="B87" t="s">
        <v>185</v>
      </c>
      <c r="C87" t="s">
        <v>145</v>
      </c>
      <c r="D87" t="s">
        <v>275</v>
      </c>
      <c r="E87" t="s">
        <v>276</v>
      </c>
      <c r="F87" t="s">
        <v>275</v>
      </c>
      <c r="G87" t="s">
        <v>21</v>
      </c>
      <c r="H87" t="s">
        <v>277</v>
      </c>
      <c r="I87">
        <v>1</v>
      </c>
      <c r="J87">
        <v>1</v>
      </c>
      <c r="K87">
        <v>0</v>
      </c>
    </row>
    <row r="88" spans="1:11" x14ac:dyDescent="0.15">
      <c r="A88" t="s">
        <v>184</v>
      </c>
      <c r="B88" t="s">
        <v>185</v>
      </c>
      <c r="C88" t="s">
        <v>190</v>
      </c>
      <c r="D88" t="s">
        <v>278</v>
      </c>
      <c r="E88" t="s">
        <v>279</v>
      </c>
      <c r="F88" t="s">
        <v>278</v>
      </c>
      <c r="G88" t="s">
        <v>21</v>
      </c>
      <c r="H88" t="s">
        <v>22</v>
      </c>
      <c r="I88">
        <v>34</v>
      </c>
      <c r="J88">
        <v>35</v>
      </c>
      <c r="K88">
        <v>1</v>
      </c>
    </row>
    <row r="89" spans="1:11" x14ac:dyDescent="0.15">
      <c r="A89" t="s">
        <v>184</v>
      </c>
      <c r="B89" t="s">
        <v>185</v>
      </c>
      <c r="C89" t="s">
        <v>190</v>
      </c>
      <c r="D89" t="s">
        <v>280</v>
      </c>
      <c r="E89" t="s">
        <v>281</v>
      </c>
      <c r="F89" t="s">
        <v>280</v>
      </c>
      <c r="G89" t="s">
        <v>21</v>
      </c>
      <c r="H89" t="s">
        <v>22</v>
      </c>
      <c r="I89">
        <v>34</v>
      </c>
      <c r="J89">
        <v>34</v>
      </c>
      <c r="K89">
        <v>0</v>
      </c>
    </row>
    <row r="90" spans="1:11" x14ac:dyDescent="0.15">
      <c r="A90" t="s">
        <v>184</v>
      </c>
      <c r="B90" t="s">
        <v>185</v>
      </c>
      <c r="C90" t="s">
        <v>190</v>
      </c>
      <c r="D90" t="s">
        <v>282</v>
      </c>
      <c r="E90" t="s">
        <v>283</v>
      </c>
      <c r="F90" t="s">
        <v>282</v>
      </c>
      <c r="G90" t="s">
        <v>21</v>
      </c>
      <c r="H90" t="s">
        <v>22</v>
      </c>
      <c r="I90">
        <v>18</v>
      </c>
      <c r="J90">
        <v>18</v>
      </c>
      <c r="K90">
        <v>0</v>
      </c>
    </row>
    <row r="91" spans="1:11" x14ac:dyDescent="0.15">
      <c r="A91" t="s">
        <v>184</v>
      </c>
      <c r="B91" t="s">
        <v>185</v>
      </c>
      <c r="C91" t="s">
        <v>190</v>
      </c>
      <c r="D91" t="s">
        <v>284</v>
      </c>
      <c r="E91" t="s">
        <v>285</v>
      </c>
      <c r="F91" t="s">
        <v>284</v>
      </c>
      <c r="G91" t="s">
        <v>21</v>
      </c>
      <c r="H91" t="s">
        <v>22</v>
      </c>
      <c r="I91">
        <v>18</v>
      </c>
      <c r="J91">
        <v>18</v>
      </c>
      <c r="K91">
        <v>0</v>
      </c>
    </row>
    <row r="92" spans="1:11" x14ac:dyDescent="0.15">
      <c r="A92" t="s">
        <v>184</v>
      </c>
      <c r="B92" t="s">
        <v>185</v>
      </c>
      <c r="C92" t="s">
        <v>190</v>
      </c>
      <c r="D92" t="s">
        <v>286</v>
      </c>
      <c r="E92" t="s">
        <v>287</v>
      </c>
      <c r="F92" t="s">
        <v>288</v>
      </c>
      <c r="G92" t="s">
        <v>21</v>
      </c>
      <c r="H92" t="s">
        <v>22</v>
      </c>
      <c r="I92">
        <v>0</v>
      </c>
      <c r="J92">
        <v>1</v>
      </c>
      <c r="K92">
        <v>1</v>
      </c>
    </row>
    <row r="93" spans="1:11" x14ac:dyDescent="0.15">
      <c r="A93" t="s">
        <v>184</v>
      </c>
      <c r="B93" t="s">
        <v>185</v>
      </c>
      <c r="C93" t="s">
        <v>190</v>
      </c>
      <c r="D93" t="s">
        <v>289</v>
      </c>
      <c r="E93" t="s">
        <v>290</v>
      </c>
      <c r="F93" t="s">
        <v>289</v>
      </c>
      <c r="G93" t="s">
        <v>21</v>
      </c>
      <c r="H93" t="s">
        <v>22</v>
      </c>
      <c r="I93">
        <v>24</v>
      </c>
      <c r="J93">
        <v>24</v>
      </c>
      <c r="K93">
        <v>0</v>
      </c>
    </row>
    <row r="94" spans="1:11" x14ac:dyDescent="0.15">
      <c r="A94" t="s">
        <v>184</v>
      </c>
      <c r="B94" t="s">
        <v>185</v>
      </c>
      <c r="C94" t="s">
        <v>190</v>
      </c>
      <c r="D94" t="s">
        <v>291</v>
      </c>
      <c r="E94" t="s">
        <v>292</v>
      </c>
      <c r="F94" t="s">
        <v>291</v>
      </c>
      <c r="G94" t="s">
        <v>21</v>
      </c>
      <c r="H94" t="s">
        <v>22</v>
      </c>
      <c r="I94">
        <v>24</v>
      </c>
      <c r="J94">
        <v>24</v>
      </c>
      <c r="K94">
        <v>0</v>
      </c>
    </row>
    <row r="95" spans="1:11" x14ac:dyDescent="0.15">
      <c r="A95" t="s">
        <v>184</v>
      </c>
      <c r="B95" t="s">
        <v>185</v>
      </c>
      <c r="C95" t="s">
        <v>190</v>
      </c>
      <c r="D95" t="s">
        <v>293</v>
      </c>
      <c r="E95" t="s">
        <v>294</v>
      </c>
      <c r="F95" t="s">
        <v>293</v>
      </c>
      <c r="G95" t="s">
        <v>21</v>
      </c>
      <c r="H95" t="s">
        <v>22</v>
      </c>
      <c r="I95">
        <v>14</v>
      </c>
      <c r="J95">
        <v>14</v>
      </c>
      <c r="K95">
        <v>0</v>
      </c>
    </row>
    <row r="96" spans="1:11" x14ac:dyDescent="0.15">
      <c r="A96" t="s">
        <v>184</v>
      </c>
      <c r="B96" t="s">
        <v>185</v>
      </c>
      <c r="C96" t="s">
        <v>190</v>
      </c>
      <c r="D96" t="s">
        <v>295</v>
      </c>
      <c r="E96" t="s">
        <v>296</v>
      </c>
      <c r="F96" t="s">
        <v>295</v>
      </c>
      <c r="G96" t="s">
        <v>21</v>
      </c>
      <c r="H96" t="s">
        <v>22</v>
      </c>
      <c r="I96">
        <v>14</v>
      </c>
      <c r="J96">
        <v>14</v>
      </c>
      <c r="K96">
        <v>0</v>
      </c>
    </row>
    <row r="97" spans="1:11" x14ac:dyDescent="0.15">
      <c r="A97" t="s">
        <v>138</v>
      </c>
      <c r="B97" t="s">
        <v>297</v>
      </c>
      <c r="C97" t="s">
        <v>145</v>
      </c>
      <c r="D97" t="s">
        <v>298</v>
      </c>
      <c r="E97" t="s">
        <v>299</v>
      </c>
      <c r="F97" t="s">
        <v>298</v>
      </c>
      <c r="G97" t="s">
        <v>21</v>
      </c>
      <c r="H97" t="s">
        <v>22</v>
      </c>
      <c r="I97">
        <v>54</v>
      </c>
      <c r="J97">
        <v>54</v>
      </c>
      <c r="K97">
        <v>0</v>
      </c>
    </row>
    <row r="98" spans="1:11" x14ac:dyDescent="0.15">
      <c r="A98" t="s">
        <v>138</v>
      </c>
      <c r="B98" t="s">
        <v>300</v>
      </c>
      <c r="C98" t="s">
        <v>195</v>
      </c>
      <c r="D98" t="s">
        <v>301</v>
      </c>
      <c r="E98" t="s">
        <v>302</v>
      </c>
      <c r="F98" t="s">
        <v>301</v>
      </c>
      <c r="G98" t="s">
        <v>21</v>
      </c>
      <c r="H98" t="s">
        <v>22</v>
      </c>
      <c r="I98">
        <v>2</v>
      </c>
      <c r="J98">
        <v>2</v>
      </c>
      <c r="K98">
        <v>0</v>
      </c>
    </row>
    <row r="99" spans="1:11" x14ac:dyDescent="0.15">
      <c r="A99" t="s">
        <v>303</v>
      </c>
      <c r="B99" t="s">
        <v>304</v>
      </c>
      <c r="C99" t="s">
        <v>145</v>
      </c>
      <c r="D99" t="s">
        <v>305</v>
      </c>
      <c r="E99" t="s">
        <v>306</v>
      </c>
      <c r="F99" t="s">
        <v>307</v>
      </c>
      <c r="G99" t="s">
        <v>217</v>
      </c>
      <c r="H99" t="s">
        <v>22</v>
      </c>
      <c r="I99">
        <v>3</v>
      </c>
      <c r="J99">
        <v>3</v>
      </c>
      <c r="K99">
        <v>0</v>
      </c>
    </row>
    <row r="100" spans="1:11" x14ac:dyDescent="0.15">
      <c r="A100" t="s">
        <v>138</v>
      </c>
      <c r="B100" t="s">
        <v>300</v>
      </c>
      <c r="C100" t="s">
        <v>195</v>
      </c>
      <c r="D100" t="s">
        <v>308</v>
      </c>
      <c r="E100" t="s">
        <v>309</v>
      </c>
      <c r="F100" t="s">
        <v>308</v>
      </c>
      <c r="G100" t="s">
        <v>21</v>
      </c>
      <c r="H100" t="s">
        <v>22</v>
      </c>
      <c r="I100">
        <v>2</v>
      </c>
      <c r="J100">
        <v>2</v>
      </c>
      <c r="K100">
        <v>0</v>
      </c>
    </row>
    <row r="101" spans="1:11" x14ac:dyDescent="0.15">
      <c r="A101" t="s">
        <v>310</v>
      </c>
      <c r="B101" t="s">
        <v>311</v>
      </c>
      <c r="C101" t="s">
        <v>200</v>
      </c>
      <c r="D101" t="s">
        <v>312</v>
      </c>
      <c r="E101" t="s">
        <v>313</v>
      </c>
      <c r="F101" t="s">
        <v>314</v>
      </c>
      <c r="G101" t="s">
        <v>217</v>
      </c>
      <c r="H101" t="s">
        <v>22</v>
      </c>
      <c r="I101">
        <v>1</v>
      </c>
      <c r="J101">
        <v>1</v>
      </c>
      <c r="K101">
        <v>0</v>
      </c>
    </row>
    <row r="102" spans="1:11" x14ac:dyDescent="0.15">
      <c r="A102" t="s">
        <v>218</v>
      </c>
      <c r="B102" t="s">
        <v>219</v>
      </c>
      <c r="C102" t="s">
        <v>145</v>
      </c>
      <c r="D102" t="s">
        <v>315</v>
      </c>
      <c r="E102" t="s">
        <v>316</v>
      </c>
      <c r="F102" t="s">
        <v>317</v>
      </c>
      <c r="G102" t="s">
        <v>318</v>
      </c>
      <c r="H102" t="s">
        <v>22</v>
      </c>
      <c r="I102">
        <v>1</v>
      </c>
      <c r="J102">
        <v>1</v>
      </c>
      <c r="K102">
        <v>0</v>
      </c>
    </row>
    <row r="103" spans="1:11" x14ac:dyDescent="0.15">
      <c r="A103" t="s">
        <v>218</v>
      </c>
      <c r="B103" t="s">
        <v>219</v>
      </c>
      <c r="C103" t="s">
        <v>145</v>
      </c>
      <c r="D103" t="s">
        <v>319</v>
      </c>
      <c r="E103" t="s">
        <v>320</v>
      </c>
      <c r="F103" t="s">
        <v>321</v>
      </c>
      <c r="G103" t="s">
        <v>322</v>
      </c>
      <c r="H103" t="s">
        <v>22</v>
      </c>
      <c r="I103">
        <v>1</v>
      </c>
      <c r="J103">
        <v>1</v>
      </c>
      <c r="K103">
        <v>0</v>
      </c>
    </row>
    <row r="104" spans="1:11" x14ac:dyDescent="0.15">
      <c r="A104" t="s">
        <v>218</v>
      </c>
      <c r="B104" t="s">
        <v>219</v>
      </c>
      <c r="C104" t="s">
        <v>145</v>
      </c>
      <c r="D104" t="s">
        <v>323</v>
      </c>
      <c r="E104" t="s">
        <v>324</v>
      </c>
      <c r="F104" t="s">
        <v>325</v>
      </c>
      <c r="G104" t="s">
        <v>247</v>
      </c>
      <c r="H104" t="s">
        <v>22</v>
      </c>
      <c r="I104">
        <v>1</v>
      </c>
      <c r="J104">
        <v>1</v>
      </c>
      <c r="K104">
        <v>0</v>
      </c>
    </row>
    <row r="105" spans="1:11" x14ac:dyDescent="0.15">
      <c r="A105" t="s">
        <v>218</v>
      </c>
      <c r="B105" t="s">
        <v>219</v>
      </c>
      <c r="C105" t="s">
        <v>145</v>
      </c>
      <c r="D105" t="s">
        <v>326</v>
      </c>
      <c r="E105" t="s">
        <v>327</v>
      </c>
      <c r="F105" t="s">
        <v>328</v>
      </c>
      <c r="G105" t="s">
        <v>329</v>
      </c>
      <c r="H105" t="s">
        <v>22</v>
      </c>
      <c r="I105">
        <v>1</v>
      </c>
      <c r="J105">
        <v>1</v>
      </c>
      <c r="K105">
        <v>0</v>
      </c>
    </row>
    <row r="106" spans="1:11" x14ac:dyDescent="0.15">
      <c r="A106" t="s">
        <v>218</v>
      </c>
      <c r="B106" t="s">
        <v>219</v>
      </c>
      <c r="C106" t="s">
        <v>145</v>
      </c>
      <c r="D106" t="s">
        <v>330</v>
      </c>
      <c r="E106" t="s">
        <v>331</v>
      </c>
      <c r="F106" t="s">
        <v>332</v>
      </c>
      <c r="G106" t="s">
        <v>329</v>
      </c>
      <c r="H106" t="s">
        <v>22</v>
      </c>
      <c r="I106">
        <v>1</v>
      </c>
      <c r="J106">
        <v>1</v>
      </c>
      <c r="K106">
        <v>0</v>
      </c>
    </row>
    <row r="107" spans="1:11" x14ac:dyDescent="0.15">
      <c r="A107" t="s">
        <v>218</v>
      </c>
      <c r="B107" t="s">
        <v>219</v>
      </c>
      <c r="C107" t="s">
        <v>145</v>
      </c>
      <c r="D107" t="s">
        <v>333</v>
      </c>
      <c r="E107" t="s">
        <v>334</v>
      </c>
      <c r="F107" t="s">
        <v>335</v>
      </c>
      <c r="G107" t="s">
        <v>217</v>
      </c>
      <c r="H107" t="s">
        <v>22</v>
      </c>
      <c r="I107">
        <v>2</v>
      </c>
      <c r="J107">
        <v>2</v>
      </c>
      <c r="K107">
        <v>0</v>
      </c>
    </row>
    <row r="108" spans="1:11" x14ac:dyDescent="0.15">
      <c r="A108" t="s">
        <v>138</v>
      </c>
      <c r="B108" t="s">
        <v>336</v>
      </c>
      <c r="C108" t="s">
        <v>145</v>
      </c>
      <c r="D108" t="s">
        <v>337</v>
      </c>
      <c r="E108" t="s">
        <v>338</v>
      </c>
      <c r="F108" t="s">
        <v>337</v>
      </c>
      <c r="G108" t="s">
        <v>21</v>
      </c>
      <c r="H108" t="s">
        <v>277</v>
      </c>
      <c r="I108">
        <v>1</v>
      </c>
      <c r="J108">
        <v>1</v>
      </c>
      <c r="K108">
        <v>0</v>
      </c>
    </row>
    <row r="109" spans="1:11" x14ac:dyDescent="0.15">
      <c r="A109" t="s">
        <v>303</v>
      </c>
      <c r="B109" t="s">
        <v>339</v>
      </c>
      <c r="C109" t="s">
        <v>340</v>
      </c>
      <c r="D109" t="s">
        <v>341</v>
      </c>
      <c r="E109" t="s">
        <v>342</v>
      </c>
      <c r="F109" t="s">
        <v>343</v>
      </c>
      <c r="G109" t="s">
        <v>217</v>
      </c>
      <c r="H109" t="s">
        <v>22</v>
      </c>
      <c r="I109">
        <v>3</v>
      </c>
      <c r="J109">
        <v>3</v>
      </c>
      <c r="K109">
        <v>0</v>
      </c>
    </row>
    <row r="110" spans="1:11" x14ac:dyDescent="0.15">
      <c r="A110" t="s">
        <v>303</v>
      </c>
      <c r="B110" t="s">
        <v>339</v>
      </c>
      <c r="C110" t="s">
        <v>340</v>
      </c>
      <c r="D110" t="s">
        <v>344</v>
      </c>
      <c r="E110" t="s">
        <v>345</v>
      </c>
      <c r="F110" t="s">
        <v>343</v>
      </c>
      <c r="G110" t="s">
        <v>235</v>
      </c>
      <c r="H110" t="s">
        <v>22</v>
      </c>
      <c r="I110">
        <v>2</v>
      </c>
      <c r="J110">
        <v>2</v>
      </c>
      <c r="K110">
        <v>0</v>
      </c>
    </row>
    <row r="111" spans="1:11" x14ac:dyDescent="0.15">
      <c r="A111" t="s">
        <v>138</v>
      </c>
      <c r="B111" t="s">
        <v>189</v>
      </c>
      <c r="C111" t="s">
        <v>346</v>
      </c>
      <c r="D111" t="s">
        <v>347</v>
      </c>
      <c r="E111" t="s">
        <v>348</v>
      </c>
      <c r="F111" t="s">
        <v>347</v>
      </c>
      <c r="G111" t="s">
        <v>21</v>
      </c>
      <c r="H111" t="s">
        <v>22</v>
      </c>
      <c r="I111">
        <v>3</v>
      </c>
      <c r="J111">
        <v>3</v>
      </c>
      <c r="K111">
        <v>0</v>
      </c>
    </row>
    <row r="112" spans="1:11" x14ac:dyDescent="0.15">
      <c r="A112" t="s">
        <v>138</v>
      </c>
      <c r="B112" t="s">
        <v>336</v>
      </c>
      <c r="C112" t="s">
        <v>145</v>
      </c>
      <c r="D112" t="s">
        <v>349</v>
      </c>
      <c r="E112" t="s">
        <v>350</v>
      </c>
      <c r="F112" t="s">
        <v>349</v>
      </c>
      <c r="G112" t="s">
        <v>21</v>
      </c>
      <c r="H112" t="s">
        <v>22</v>
      </c>
      <c r="I112">
        <v>1</v>
      </c>
      <c r="J112">
        <v>1</v>
      </c>
      <c r="K112">
        <v>0</v>
      </c>
    </row>
    <row r="113" spans="1:11" x14ac:dyDescent="0.15">
      <c r="A113" t="s">
        <v>138</v>
      </c>
      <c r="B113" t="s">
        <v>351</v>
      </c>
      <c r="C113" t="s">
        <v>145</v>
      </c>
      <c r="D113" t="s">
        <v>352</v>
      </c>
      <c r="E113" t="s">
        <v>353</v>
      </c>
      <c r="F113" t="s">
        <v>354</v>
      </c>
      <c r="G113" t="s">
        <v>217</v>
      </c>
      <c r="H113" t="s">
        <v>22</v>
      </c>
      <c r="I113">
        <v>1</v>
      </c>
      <c r="J113">
        <v>1</v>
      </c>
      <c r="K113">
        <v>0</v>
      </c>
    </row>
    <row r="114" spans="1:11" x14ac:dyDescent="0.15">
      <c r="A114" t="s">
        <v>138</v>
      </c>
      <c r="B114" t="s">
        <v>351</v>
      </c>
      <c r="C114" t="s">
        <v>145</v>
      </c>
      <c r="D114" t="s">
        <v>355</v>
      </c>
      <c r="E114" t="s">
        <v>356</v>
      </c>
      <c r="F114" t="s">
        <v>357</v>
      </c>
      <c r="G114" t="s">
        <v>217</v>
      </c>
      <c r="H114" t="s">
        <v>22</v>
      </c>
      <c r="I114">
        <v>1</v>
      </c>
      <c r="J114">
        <v>1</v>
      </c>
      <c r="K114">
        <v>0</v>
      </c>
    </row>
    <row r="115" spans="1:11" x14ac:dyDescent="0.15">
      <c r="A115" t="s">
        <v>138</v>
      </c>
      <c r="B115" t="s">
        <v>351</v>
      </c>
      <c r="C115" t="s">
        <v>145</v>
      </c>
      <c r="D115" t="s">
        <v>358</v>
      </c>
      <c r="E115" t="s">
        <v>359</v>
      </c>
      <c r="F115" t="s">
        <v>358</v>
      </c>
      <c r="G115" t="s">
        <v>21</v>
      </c>
      <c r="H115" t="s">
        <v>22</v>
      </c>
      <c r="I115">
        <v>2</v>
      </c>
      <c r="J115">
        <v>2</v>
      </c>
      <c r="K115">
        <v>0</v>
      </c>
    </row>
    <row r="116" spans="1:11" x14ac:dyDescent="0.15">
      <c r="A116" t="s">
        <v>15</v>
      </c>
      <c r="B116" t="s">
        <v>360</v>
      </c>
      <c r="C116" t="s">
        <v>145</v>
      </c>
      <c r="D116" t="s">
        <v>361</v>
      </c>
      <c r="E116" t="s">
        <v>362</v>
      </c>
      <c r="F116" t="s">
        <v>361</v>
      </c>
      <c r="G116" t="s">
        <v>21</v>
      </c>
      <c r="H116" t="s">
        <v>277</v>
      </c>
      <c r="I116">
        <v>1</v>
      </c>
      <c r="J116">
        <v>1</v>
      </c>
      <c r="K116">
        <v>0</v>
      </c>
    </row>
    <row r="117" spans="1:11" x14ac:dyDescent="0.15">
      <c r="A117" t="s">
        <v>15</v>
      </c>
      <c r="B117" t="s">
        <v>360</v>
      </c>
      <c r="C117" t="s">
        <v>145</v>
      </c>
      <c r="D117" t="s">
        <v>363</v>
      </c>
      <c r="E117" t="s">
        <v>364</v>
      </c>
      <c r="F117" t="s">
        <v>363</v>
      </c>
      <c r="G117" t="s">
        <v>21</v>
      </c>
      <c r="H117" t="s">
        <v>277</v>
      </c>
      <c r="I117">
        <v>1</v>
      </c>
      <c r="J117">
        <v>1</v>
      </c>
      <c r="K117">
        <v>0</v>
      </c>
    </row>
    <row r="118" spans="1:11" x14ac:dyDescent="0.15">
      <c r="A118" t="s">
        <v>15</v>
      </c>
      <c r="B118" t="s">
        <v>114</v>
      </c>
      <c r="C118" t="s">
        <v>104</v>
      </c>
      <c r="D118" t="s">
        <v>365</v>
      </c>
      <c r="E118" t="s">
        <v>366</v>
      </c>
      <c r="F118" t="s">
        <v>365</v>
      </c>
      <c r="G118" t="s">
        <v>21</v>
      </c>
      <c r="H118" t="s">
        <v>22</v>
      </c>
      <c r="I118">
        <v>2</v>
      </c>
      <c r="J118">
        <v>2</v>
      </c>
      <c r="K118">
        <v>0</v>
      </c>
    </row>
    <row r="119" spans="1:11" x14ac:dyDescent="0.15">
      <c r="A119" t="s">
        <v>138</v>
      </c>
      <c r="B119" t="s">
        <v>189</v>
      </c>
      <c r="C119" t="s">
        <v>145</v>
      </c>
      <c r="D119" t="s">
        <v>367</v>
      </c>
      <c r="E119" t="s">
        <v>368</v>
      </c>
      <c r="F119" t="s">
        <v>367</v>
      </c>
      <c r="G119" t="s">
        <v>21</v>
      </c>
      <c r="H119" t="s">
        <v>22</v>
      </c>
      <c r="I119">
        <v>1</v>
      </c>
      <c r="J119">
        <v>1</v>
      </c>
      <c r="K119">
        <v>0</v>
      </c>
    </row>
    <row r="120" spans="1:11" x14ac:dyDescent="0.15">
      <c r="A120" t="s">
        <v>138</v>
      </c>
      <c r="B120" t="s">
        <v>189</v>
      </c>
      <c r="C120" t="s">
        <v>145</v>
      </c>
      <c r="D120" t="s">
        <v>369</v>
      </c>
      <c r="E120" t="s">
        <v>370</v>
      </c>
      <c r="F120" t="s">
        <v>369</v>
      </c>
      <c r="G120" t="s">
        <v>21</v>
      </c>
      <c r="H120" t="s">
        <v>22</v>
      </c>
      <c r="I120">
        <v>1</v>
      </c>
      <c r="J120">
        <v>1</v>
      </c>
      <c r="K120">
        <v>0</v>
      </c>
    </row>
    <row r="121" spans="1:11" x14ac:dyDescent="0.15">
      <c r="A121" t="s">
        <v>138</v>
      </c>
      <c r="B121" t="s">
        <v>189</v>
      </c>
      <c r="C121" t="s">
        <v>145</v>
      </c>
      <c r="D121" t="s">
        <v>371</v>
      </c>
      <c r="E121" t="s">
        <v>372</v>
      </c>
      <c r="F121" t="s">
        <v>371</v>
      </c>
      <c r="G121" t="s">
        <v>21</v>
      </c>
      <c r="H121" t="s">
        <v>22</v>
      </c>
      <c r="I121">
        <v>1</v>
      </c>
      <c r="J121">
        <v>1</v>
      </c>
      <c r="K121">
        <v>0</v>
      </c>
    </row>
    <row r="122" spans="1:11" x14ac:dyDescent="0.15">
      <c r="A122" t="s">
        <v>138</v>
      </c>
      <c r="B122" t="s">
        <v>189</v>
      </c>
      <c r="C122" t="s">
        <v>145</v>
      </c>
      <c r="D122" t="s">
        <v>373</v>
      </c>
      <c r="E122" t="s">
        <v>374</v>
      </c>
      <c r="F122" t="s">
        <v>373</v>
      </c>
      <c r="G122" t="s">
        <v>21</v>
      </c>
      <c r="H122" t="s">
        <v>22</v>
      </c>
      <c r="I122">
        <v>1</v>
      </c>
      <c r="J122">
        <v>1</v>
      </c>
      <c r="K122">
        <v>0</v>
      </c>
    </row>
    <row r="123" spans="1:11" x14ac:dyDescent="0.15">
      <c r="A123" t="s">
        <v>138</v>
      </c>
      <c r="B123" t="s">
        <v>189</v>
      </c>
      <c r="C123" t="s">
        <v>145</v>
      </c>
      <c r="D123" t="s">
        <v>375</v>
      </c>
      <c r="E123" t="s">
        <v>376</v>
      </c>
      <c r="F123" t="s">
        <v>375</v>
      </c>
      <c r="G123" t="s">
        <v>21</v>
      </c>
      <c r="H123" t="s">
        <v>22</v>
      </c>
      <c r="I123">
        <v>1</v>
      </c>
      <c r="J123">
        <v>1</v>
      </c>
      <c r="K123">
        <v>0</v>
      </c>
    </row>
    <row r="124" spans="1:11" x14ac:dyDescent="0.15">
      <c r="A124" t="s">
        <v>15</v>
      </c>
      <c r="B124" t="s">
        <v>360</v>
      </c>
      <c r="C124" t="s">
        <v>145</v>
      </c>
      <c r="D124" t="s">
        <v>377</v>
      </c>
      <c r="E124" t="s">
        <v>378</v>
      </c>
      <c r="F124" t="s">
        <v>377</v>
      </c>
      <c r="G124" t="s">
        <v>21</v>
      </c>
      <c r="H124" t="s">
        <v>22</v>
      </c>
      <c r="I124">
        <v>1</v>
      </c>
      <c r="J124">
        <v>1</v>
      </c>
      <c r="K124">
        <v>0</v>
      </c>
    </row>
    <row r="125" spans="1:11" x14ac:dyDescent="0.15">
      <c r="A125" t="s">
        <v>138</v>
      </c>
      <c r="B125" t="s">
        <v>336</v>
      </c>
      <c r="C125" t="s">
        <v>145</v>
      </c>
      <c r="D125" t="s">
        <v>379</v>
      </c>
      <c r="E125" t="s">
        <v>380</v>
      </c>
      <c r="F125" t="s">
        <v>380</v>
      </c>
      <c r="G125" t="s">
        <v>21</v>
      </c>
      <c r="H125" t="s">
        <v>22</v>
      </c>
      <c r="I125">
        <v>10</v>
      </c>
      <c r="J125">
        <v>10</v>
      </c>
      <c r="K125">
        <v>0</v>
      </c>
    </row>
    <row r="126" spans="1:11" x14ac:dyDescent="0.15">
      <c r="A126" t="s">
        <v>138</v>
      </c>
      <c r="B126" t="s">
        <v>381</v>
      </c>
      <c r="C126" t="s">
        <v>145</v>
      </c>
      <c r="D126" t="s">
        <v>382</v>
      </c>
      <c r="E126" t="s">
        <v>382</v>
      </c>
      <c r="F126" t="s">
        <v>382</v>
      </c>
      <c r="G126" t="s">
        <v>21</v>
      </c>
      <c r="H126" t="s">
        <v>22</v>
      </c>
      <c r="I126">
        <v>3</v>
      </c>
      <c r="J126">
        <v>3</v>
      </c>
      <c r="K126">
        <v>0</v>
      </c>
    </row>
    <row r="127" spans="1:11" x14ac:dyDescent="0.15">
      <c r="A127" t="s">
        <v>138</v>
      </c>
      <c r="B127" t="s">
        <v>189</v>
      </c>
      <c r="C127" t="s">
        <v>195</v>
      </c>
      <c r="D127" t="s">
        <v>383</v>
      </c>
      <c r="E127" t="s">
        <v>384</v>
      </c>
      <c r="F127" t="s">
        <v>383</v>
      </c>
      <c r="G127" t="s">
        <v>21</v>
      </c>
      <c r="H127" t="s">
        <v>22</v>
      </c>
      <c r="I127">
        <v>1</v>
      </c>
      <c r="J127">
        <v>1</v>
      </c>
      <c r="K127">
        <v>0</v>
      </c>
    </row>
    <row r="128" spans="1:11" x14ac:dyDescent="0.15">
      <c r="A128" t="s">
        <v>138</v>
      </c>
      <c r="B128" t="s">
        <v>189</v>
      </c>
      <c r="C128" t="s">
        <v>195</v>
      </c>
      <c r="D128" t="s">
        <v>385</v>
      </c>
      <c r="E128" t="s">
        <v>386</v>
      </c>
      <c r="F128" t="s">
        <v>385</v>
      </c>
      <c r="G128" t="s">
        <v>21</v>
      </c>
      <c r="H128" t="s">
        <v>22</v>
      </c>
      <c r="I128">
        <v>2</v>
      </c>
      <c r="J128">
        <v>2</v>
      </c>
      <c r="K128">
        <v>0</v>
      </c>
    </row>
    <row r="129" spans="1:11" x14ac:dyDescent="0.15">
      <c r="A129" t="s">
        <v>138</v>
      </c>
      <c r="B129" t="s">
        <v>189</v>
      </c>
      <c r="C129" t="s">
        <v>195</v>
      </c>
      <c r="D129" t="s">
        <v>387</v>
      </c>
      <c r="E129" t="s">
        <v>388</v>
      </c>
      <c r="F129" t="s">
        <v>387</v>
      </c>
      <c r="G129" t="s">
        <v>21</v>
      </c>
      <c r="H129" t="s">
        <v>22</v>
      </c>
      <c r="I129">
        <v>1</v>
      </c>
      <c r="J129">
        <v>1</v>
      </c>
      <c r="K129">
        <v>0</v>
      </c>
    </row>
    <row r="130" spans="1:11" x14ac:dyDescent="0.15">
      <c r="A130" t="s">
        <v>138</v>
      </c>
      <c r="B130" t="s">
        <v>189</v>
      </c>
      <c r="C130" t="s">
        <v>195</v>
      </c>
      <c r="D130" t="s">
        <v>389</v>
      </c>
      <c r="E130" t="s">
        <v>390</v>
      </c>
      <c r="F130" t="s">
        <v>389</v>
      </c>
      <c r="G130" t="s">
        <v>21</v>
      </c>
      <c r="H130" t="s">
        <v>22</v>
      </c>
      <c r="I130">
        <v>1</v>
      </c>
      <c r="J130">
        <v>1</v>
      </c>
      <c r="K130">
        <v>0</v>
      </c>
    </row>
    <row r="131" spans="1:11" x14ac:dyDescent="0.15">
      <c r="A131" t="s">
        <v>138</v>
      </c>
      <c r="B131" t="s">
        <v>189</v>
      </c>
      <c r="C131" t="s">
        <v>195</v>
      </c>
      <c r="D131" t="s">
        <v>391</v>
      </c>
      <c r="E131" t="s">
        <v>392</v>
      </c>
      <c r="F131" t="s">
        <v>391</v>
      </c>
      <c r="G131" t="s">
        <v>21</v>
      </c>
      <c r="H131" t="s">
        <v>22</v>
      </c>
      <c r="I131">
        <v>3</v>
      </c>
      <c r="J131">
        <v>3</v>
      </c>
      <c r="K131">
        <v>0</v>
      </c>
    </row>
    <row r="132" spans="1:11" x14ac:dyDescent="0.15">
      <c r="A132" t="s">
        <v>138</v>
      </c>
      <c r="B132" t="s">
        <v>189</v>
      </c>
      <c r="C132" t="s">
        <v>145</v>
      </c>
      <c r="D132" t="s">
        <v>393</v>
      </c>
      <c r="E132" t="s">
        <v>394</v>
      </c>
      <c r="F132" t="s">
        <v>393</v>
      </c>
      <c r="G132" t="s">
        <v>21</v>
      </c>
      <c r="H132" t="s">
        <v>277</v>
      </c>
      <c r="I132">
        <v>1</v>
      </c>
      <c r="J132">
        <v>1</v>
      </c>
      <c r="K132">
        <v>0</v>
      </c>
    </row>
    <row r="133" spans="1:11" x14ac:dyDescent="0.15">
      <c r="A133" t="s">
        <v>138</v>
      </c>
      <c r="B133" t="s">
        <v>189</v>
      </c>
      <c r="C133" t="s">
        <v>145</v>
      </c>
      <c r="D133" t="s">
        <v>395</v>
      </c>
      <c r="E133" t="s">
        <v>396</v>
      </c>
      <c r="F133" t="s">
        <v>395</v>
      </c>
      <c r="G133" t="s">
        <v>21</v>
      </c>
      <c r="H133" t="s">
        <v>22</v>
      </c>
      <c r="I133">
        <v>1</v>
      </c>
      <c r="J133">
        <v>1</v>
      </c>
      <c r="K133">
        <v>0</v>
      </c>
    </row>
    <row r="134" spans="1:11" x14ac:dyDescent="0.15">
      <c r="A134" t="s">
        <v>138</v>
      </c>
      <c r="B134" t="s">
        <v>189</v>
      </c>
      <c r="C134" t="s">
        <v>145</v>
      </c>
      <c r="D134" t="s">
        <v>397</v>
      </c>
      <c r="E134" t="s">
        <v>398</v>
      </c>
      <c r="F134" t="s">
        <v>397</v>
      </c>
      <c r="G134" t="s">
        <v>21</v>
      </c>
      <c r="H134" t="s">
        <v>22</v>
      </c>
      <c r="I134">
        <v>8</v>
      </c>
      <c r="J134">
        <v>8</v>
      </c>
      <c r="K134">
        <v>0</v>
      </c>
    </row>
    <row r="135" spans="1:11" x14ac:dyDescent="0.15">
      <c r="A135" t="s">
        <v>138</v>
      </c>
      <c r="B135" t="s">
        <v>189</v>
      </c>
      <c r="C135" t="s">
        <v>145</v>
      </c>
      <c r="D135" t="s">
        <v>399</v>
      </c>
      <c r="E135" t="s">
        <v>400</v>
      </c>
      <c r="F135" t="s">
        <v>399</v>
      </c>
      <c r="G135" t="s">
        <v>21</v>
      </c>
      <c r="H135" t="s">
        <v>22</v>
      </c>
      <c r="I135">
        <v>1</v>
      </c>
      <c r="J135">
        <v>1</v>
      </c>
      <c r="K135">
        <v>0</v>
      </c>
    </row>
    <row r="136" spans="1:11" x14ac:dyDescent="0.15">
      <c r="A136" t="s">
        <v>138</v>
      </c>
      <c r="B136" t="s">
        <v>189</v>
      </c>
      <c r="C136" t="s">
        <v>145</v>
      </c>
      <c r="D136" t="s">
        <v>401</v>
      </c>
      <c r="E136" t="s">
        <v>400</v>
      </c>
      <c r="F136" t="s">
        <v>401</v>
      </c>
      <c r="G136" t="s">
        <v>21</v>
      </c>
      <c r="H136" t="s">
        <v>277</v>
      </c>
      <c r="I136">
        <v>1</v>
      </c>
      <c r="J136">
        <v>1</v>
      </c>
      <c r="K136">
        <v>0</v>
      </c>
    </row>
    <row r="137" spans="1:11" x14ac:dyDescent="0.15">
      <c r="A137" t="s">
        <v>138</v>
      </c>
      <c r="B137" t="s">
        <v>189</v>
      </c>
      <c r="C137" t="s">
        <v>145</v>
      </c>
      <c r="D137" t="s">
        <v>402</v>
      </c>
      <c r="E137" t="s">
        <v>403</v>
      </c>
      <c r="F137" t="s">
        <v>402</v>
      </c>
      <c r="G137" t="s">
        <v>21</v>
      </c>
      <c r="H137" t="s">
        <v>22</v>
      </c>
      <c r="I137">
        <v>6</v>
      </c>
      <c r="J137">
        <v>6</v>
      </c>
      <c r="K137">
        <v>0</v>
      </c>
    </row>
    <row r="138" spans="1:11" x14ac:dyDescent="0.15">
      <c r="A138" t="s">
        <v>138</v>
      </c>
      <c r="B138" t="s">
        <v>189</v>
      </c>
      <c r="C138" t="s">
        <v>145</v>
      </c>
      <c r="D138" t="s">
        <v>404</v>
      </c>
      <c r="E138" t="s">
        <v>405</v>
      </c>
      <c r="F138" t="s">
        <v>404</v>
      </c>
      <c r="G138" t="s">
        <v>21</v>
      </c>
      <c r="H138" t="s">
        <v>277</v>
      </c>
      <c r="I138">
        <v>1</v>
      </c>
      <c r="J138">
        <v>1</v>
      </c>
      <c r="K138">
        <v>0</v>
      </c>
    </row>
    <row r="139" spans="1:11" x14ac:dyDescent="0.15">
      <c r="A139" t="s">
        <v>138</v>
      </c>
      <c r="B139" t="s">
        <v>189</v>
      </c>
      <c r="C139" t="s">
        <v>145</v>
      </c>
      <c r="D139" t="s">
        <v>406</v>
      </c>
      <c r="E139" t="s">
        <v>407</v>
      </c>
      <c r="F139" t="s">
        <v>406</v>
      </c>
      <c r="G139" t="s">
        <v>21</v>
      </c>
      <c r="H139" t="s">
        <v>22</v>
      </c>
      <c r="I139">
        <v>13</v>
      </c>
      <c r="J139">
        <v>13</v>
      </c>
      <c r="K139">
        <v>0</v>
      </c>
    </row>
    <row r="140" spans="1:11" x14ac:dyDescent="0.15">
      <c r="A140" t="s">
        <v>138</v>
      </c>
      <c r="B140" t="s">
        <v>189</v>
      </c>
      <c r="C140" t="s">
        <v>145</v>
      </c>
      <c r="D140" t="s">
        <v>408</v>
      </c>
      <c r="E140" t="s">
        <v>409</v>
      </c>
      <c r="F140" t="s">
        <v>408</v>
      </c>
      <c r="G140" t="s">
        <v>21</v>
      </c>
      <c r="H140" t="s">
        <v>22</v>
      </c>
      <c r="I140">
        <v>5</v>
      </c>
      <c r="J140">
        <v>5</v>
      </c>
      <c r="K140">
        <v>0</v>
      </c>
    </row>
    <row r="141" spans="1:11" x14ac:dyDescent="0.15">
      <c r="A141" t="s">
        <v>138</v>
      </c>
      <c r="B141" t="s">
        <v>189</v>
      </c>
      <c r="C141" t="s">
        <v>145</v>
      </c>
      <c r="D141" t="s">
        <v>410</v>
      </c>
      <c r="E141" t="s">
        <v>411</v>
      </c>
      <c r="F141" t="s">
        <v>410</v>
      </c>
      <c r="G141" t="s">
        <v>21</v>
      </c>
      <c r="H141" t="s">
        <v>22</v>
      </c>
      <c r="I141">
        <v>0</v>
      </c>
      <c r="J141">
        <v>1</v>
      </c>
      <c r="K141">
        <v>1</v>
      </c>
    </row>
    <row r="142" spans="1:11" x14ac:dyDescent="0.15">
      <c r="A142" t="s">
        <v>138</v>
      </c>
      <c r="B142" t="s">
        <v>189</v>
      </c>
      <c r="C142" t="s">
        <v>145</v>
      </c>
      <c r="D142" t="s">
        <v>412</v>
      </c>
      <c r="E142" t="s">
        <v>413</v>
      </c>
      <c r="F142" t="s">
        <v>412</v>
      </c>
      <c r="G142" t="s">
        <v>21</v>
      </c>
      <c r="H142" t="s">
        <v>22</v>
      </c>
      <c r="I142">
        <v>2</v>
      </c>
      <c r="J142">
        <v>2</v>
      </c>
      <c r="K142">
        <v>0</v>
      </c>
    </row>
    <row r="143" spans="1:11" x14ac:dyDescent="0.15">
      <c r="A143" t="s">
        <v>138</v>
      </c>
      <c r="B143" t="s">
        <v>189</v>
      </c>
      <c r="C143" t="s">
        <v>145</v>
      </c>
      <c r="D143" t="s">
        <v>414</v>
      </c>
      <c r="E143" t="s">
        <v>415</v>
      </c>
      <c r="F143" t="s">
        <v>414</v>
      </c>
      <c r="G143" t="s">
        <v>21</v>
      </c>
      <c r="H143" t="s">
        <v>277</v>
      </c>
      <c r="I143">
        <v>1</v>
      </c>
      <c r="J143">
        <v>1</v>
      </c>
      <c r="K143">
        <v>0</v>
      </c>
    </row>
    <row r="144" spans="1:11" x14ac:dyDescent="0.15">
      <c r="A144" t="s">
        <v>138</v>
      </c>
      <c r="B144" t="s">
        <v>189</v>
      </c>
      <c r="C144" t="s">
        <v>145</v>
      </c>
      <c r="D144" t="s">
        <v>416</v>
      </c>
      <c r="E144" t="s">
        <v>417</v>
      </c>
      <c r="F144" t="s">
        <v>416</v>
      </c>
      <c r="G144" t="s">
        <v>21</v>
      </c>
      <c r="H144" t="s">
        <v>22</v>
      </c>
      <c r="I144">
        <v>1</v>
      </c>
      <c r="J144">
        <v>1</v>
      </c>
      <c r="K144">
        <v>0</v>
      </c>
    </row>
    <row r="145" spans="1:11" x14ac:dyDescent="0.15">
      <c r="A145" t="s">
        <v>138</v>
      </c>
      <c r="B145" t="s">
        <v>189</v>
      </c>
      <c r="C145" t="s">
        <v>145</v>
      </c>
      <c r="D145" t="s">
        <v>418</v>
      </c>
      <c r="E145" t="s">
        <v>419</v>
      </c>
      <c r="F145" t="s">
        <v>418</v>
      </c>
      <c r="G145" t="s">
        <v>21</v>
      </c>
      <c r="H145" t="s">
        <v>22</v>
      </c>
      <c r="I145">
        <v>2</v>
      </c>
      <c r="J145">
        <v>2</v>
      </c>
      <c r="K145">
        <v>0</v>
      </c>
    </row>
    <row r="146" spans="1:11" x14ac:dyDescent="0.15">
      <c r="A146" t="s">
        <v>138</v>
      </c>
      <c r="B146" t="s">
        <v>189</v>
      </c>
      <c r="C146" t="s">
        <v>145</v>
      </c>
      <c r="D146" t="s">
        <v>420</v>
      </c>
      <c r="E146" t="s">
        <v>421</v>
      </c>
      <c r="F146" t="s">
        <v>420</v>
      </c>
      <c r="G146" t="s">
        <v>21</v>
      </c>
      <c r="H146" t="s">
        <v>22</v>
      </c>
      <c r="I146">
        <v>11</v>
      </c>
      <c r="J146">
        <v>11</v>
      </c>
      <c r="K146">
        <v>0</v>
      </c>
    </row>
    <row r="147" spans="1:11" x14ac:dyDescent="0.15">
      <c r="A147" t="s">
        <v>138</v>
      </c>
      <c r="B147" t="s">
        <v>189</v>
      </c>
      <c r="C147" t="s">
        <v>145</v>
      </c>
      <c r="D147" t="s">
        <v>422</v>
      </c>
      <c r="E147" t="s">
        <v>423</v>
      </c>
      <c r="F147" t="s">
        <v>422</v>
      </c>
      <c r="G147" t="s">
        <v>21</v>
      </c>
      <c r="H147" t="s">
        <v>22</v>
      </c>
      <c r="I147">
        <v>0</v>
      </c>
      <c r="J147">
        <v>1</v>
      </c>
      <c r="K147">
        <v>1</v>
      </c>
    </row>
    <row r="148" spans="1:11" x14ac:dyDescent="0.15">
      <c r="A148" t="s">
        <v>138</v>
      </c>
      <c r="B148" t="s">
        <v>189</v>
      </c>
      <c r="C148" t="s">
        <v>145</v>
      </c>
      <c r="D148" t="s">
        <v>424</v>
      </c>
      <c r="E148" t="s">
        <v>425</v>
      </c>
      <c r="F148" t="s">
        <v>424</v>
      </c>
      <c r="G148" t="s">
        <v>21</v>
      </c>
      <c r="H148" t="s">
        <v>22</v>
      </c>
      <c r="I148">
        <v>2</v>
      </c>
      <c r="J148">
        <v>2</v>
      </c>
      <c r="K148">
        <v>0</v>
      </c>
    </row>
    <row r="149" spans="1:11" x14ac:dyDescent="0.15">
      <c r="A149" t="s">
        <v>138</v>
      </c>
      <c r="B149" t="s">
        <v>189</v>
      </c>
      <c r="C149" t="s">
        <v>145</v>
      </c>
      <c r="D149" t="s">
        <v>426</v>
      </c>
      <c r="E149" t="s">
        <v>427</v>
      </c>
      <c r="F149" t="s">
        <v>426</v>
      </c>
      <c r="G149" t="s">
        <v>21</v>
      </c>
      <c r="H149" t="s">
        <v>22</v>
      </c>
      <c r="I149">
        <v>1</v>
      </c>
      <c r="J149">
        <v>1</v>
      </c>
      <c r="K149">
        <v>0</v>
      </c>
    </row>
    <row r="150" spans="1:11" x14ac:dyDescent="0.15">
      <c r="A150" t="s">
        <v>138</v>
      </c>
      <c r="B150" t="s">
        <v>189</v>
      </c>
      <c r="C150" t="s">
        <v>145</v>
      </c>
      <c r="D150" t="s">
        <v>428</v>
      </c>
      <c r="E150" t="s">
        <v>429</v>
      </c>
      <c r="F150" t="s">
        <v>428</v>
      </c>
      <c r="G150" t="s">
        <v>21</v>
      </c>
      <c r="H150" t="s">
        <v>22</v>
      </c>
      <c r="I150">
        <v>1</v>
      </c>
      <c r="J150">
        <v>1</v>
      </c>
      <c r="K150">
        <v>0</v>
      </c>
    </row>
    <row r="151" spans="1:11" x14ac:dyDescent="0.15">
      <c r="A151" t="s">
        <v>138</v>
      </c>
      <c r="B151" t="s">
        <v>189</v>
      </c>
      <c r="C151" t="s">
        <v>145</v>
      </c>
      <c r="D151" t="s">
        <v>430</v>
      </c>
      <c r="E151" t="s">
        <v>431</v>
      </c>
      <c r="F151" t="s">
        <v>430</v>
      </c>
      <c r="G151" t="s">
        <v>21</v>
      </c>
      <c r="H151" t="s">
        <v>22</v>
      </c>
      <c r="I151">
        <v>1</v>
      </c>
      <c r="J151">
        <v>1</v>
      </c>
      <c r="K151">
        <v>0</v>
      </c>
    </row>
    <row r="152" spans="1:11" x14ac:dyDescent="0.15">
      <c r="A152" t="s">
        <v>184</v>
      </c>
      <c r="B152" t="s">
        <v>432</v>
      </c>
      <c r="C152" t="s">
        <v>145</v>
      </c>
      <c r="D152" t="s">
        <v>433</v>
      </c>
      <c r="E152" t="s">
        <v>434</v>
      </c>
      <c r="F152" t="s">
        <v>433</v>
      </c>
      <c r="G152" t="s">
        <v>21</v>
      </c>
      <c r="H152" t="s">
        <v>277</v>
      </c>
      <c r="I152">
        <v>1</v>
      </c>
      <c r="J152">
        <v>1</v>
      </c>
      <c r="K152">
        <v>0</v>
      </c>
    </row>
    <row r="153" spans="1:11" x14ac:dyDescent="0.15">
      <c r="A153" t="s">
        <v>184</v>
      </c>
      <c r="B153" t="s">
        <v>432</v>
      </c>
      <c r="C153" t="s">
        <v>145</v>
      </c>
      <c r="D153" t="s">
        <v>435</v>
      </c>
      <c r="E153" t="s">
        <v>436</v>
      </c>
      <c r="F153" t="s">
        <v>435</v>
      </c>
      <c r="G153" t="s">
        <v>21</v>
      </c>
      <c r="H153" t="s">
        <v>277</v>
      </c>
      <c r="I153">
        <v>1</v>
      </c>
      <c r="J153">
        <v>1</v>
      </c>
      <c r="K153">
        <v>0</v>
      </c>
    </row>
    <row r="154" spans="1:11" x14ac:dyDescent="0.15">
      <c r="A154" t="s">
        <v>184</v>
      </c>
      <c r="B154" t="s">
        <v>432</v>
      </c>
      <c r="C154" t="s">
        <v>190</v>
      </c>
      <c r="D154" t="s">
        <v>437</v>
      </c>
      <c r="E154" t="s">
        <v>438</v>
      </c>
      <c r="F154" t="s">
        <v>437</v>
      </c>
      <c r="G154" t="s">
        <v>21</v>
      </c>
      <c r="H154" t="s">
        <v>22</v>
      </c>
      <c r="I154">
        <v>1</v>
      </c>
      <c r="J154">
        <v>1</v>
      </c>
      <c r="K154">
        <v>0</v>
      </c>
    </row>
    <row r="155" spans="1:11" x14ac:dyDescent="0.15">
      <c r="A155" t="s">
        <v>15</v>
      </c>
      <c r="B155" t="s">
        <v>439</v>
      </c>
      <c r="C155" t="s">
        <v>440</v>
      </c>
      <c r="D155" t="s">
        <v>441</v>
      </c>
      <c r="E155" t="s">
        <v>442</v>
      </c>
      <c r="F155" t="s">
        <v>441</v>
      </c>
      <c r="G155" t="s">
        <v>21</v>
      </c>
      <c r="H155" t="s">
        <v>22</v>
      </c>
      <c r="I155">
        <v>44</v>
      </c>
      <c r="J155">
        <v>44</v>
      </c>
      <c r="K155">
        <v>0</v>
      </c>
    </row>
    <row r="156" spans="1:11" x14ac:dyDescent="0.15">
      <c r="A156" t="s">
        <v>15</v>
      </c>
      <c r="B156" t="s">
        <v>443</v>
      </c>
      <c r="C156" t="s">
        <v>440</v>
      </c>
      <c r="D156" t="s">
        <v>444</v>
      </c>
      <c r="E156" t="s">
        <v>445</v>
      </c>
      <c r="F156" t="s">
        <v>444</v>
      </c>
      <c r="G156" t="s">
        <v>21</v>
      </c>
      <c r="H156" t="s">
        <v>22</v>
      </c>
      <c r="I156">
        <v>2</v>
      </c>
      <c r="J156">
        <v>2</v>
      </c>
      <c r="K156">
        <v>0</v>
      </c>
    </row>
    <row r="157" spans="1:11" x14ac:dyDescent="0.15">
      <c r="A157" t="s">
        <v>15</v>
      </c>
      <c r="B157" t="s">
        <v>446</v>
      </c>
      <c r="C157" t="s">
        <v>440</v>
      </c>
      <c r="D157" t="s">
        <v>447</v>
      </c>
      <c r="E157" t="s">
        <v>448</v>
      </c>
      <c r="F157" t="s">
        <v>447</v>
      </c>
      <c r="G157" t="s">
        <v>21</v>
      </c>
      <c r="H157" t="s">
        <v>22</v>
      </c>
      <c r="I157">
        <v>2</v>
      </c>
      <c r="J157">
        <v>2</v>
      </c>
      <c r="K157">
        <v>0</v>
      </c>
    </row>
    <row r="158" spans="1:11" x14ac:dyDescent="0.15">
      <c r="A158" t="s">
        <v>138</v>
      </c>
      <c r="B158" t="s">
        <v>189</v>
      </c>
      <c r="C158" t="s">
        <v>440</v>
      </c>
      <c r="D158" t="s">
        <v>449</v>
      </c>
      <c r="E158" t="s">
        <v>450</v>
      </c>
      <c r="F158" t="s">
        <v>449</v>
      </c>
      <c r="G158" t="s">
        <v>21</v>
      </c>
      <c r="H158" t="s">
        <v>22</v>
      </c>
      <c r="I158">
        <v>0</v>
      </c>
      <c r="J158">
        <v>99</v>
      </c>
      <c r="K158">
        <v>99</v>
      </c>
    </row>
    <row r="159" spans="1:11" x14ac:dyDescent="0.15">
      <c r="A159" t="s">
        <v>138</v>
      </c>
      <c r="B159" t="s">
        <v>189</v>
      </c>
      <c r="C159" t="s">
        <v>440</v>
      </c>
      <c r="D159" t="s">
        <v>451</v>
      </c>
      <c r="E159" t="s">
        <v>452</v>
      </c>
      <c r="F159" t="s">
        <v>451</v>
      </c>
      <c r="G159" t="s">
        <v>21</v>
      </c>
      <c r="H159" t="s">
        <v>22</v>
      </c>
      <c r="I159">
        <v>0</v>
      </c>
      <c r="J159">
        <v>37</v>
      </c>
      <c r="K159">
        <v>37</v>
      </c>
    </row>
    <row r="160" spans="1:11" x14ac:dyDescent="0.15">
      <c r="A160" t="s">
        <v>138</v>
      </c>
      <c r="B160" t="s">
        <v>189</v>
      </c>
      <c r="C160" t="s">
        <v>440</v>
      </c>
      <c r="D160" t="s">
        <v>453</v>
      </c>
      <c r="E160" t="s">
        <v>454</v>
      </c>
      <c r="F160" t="s">
        <v>453</v>
      </c>
      <c r="G160" t="s">
        <v>21</v>
      </c>
      <c r="H160" t="s">
        <v>22</v>
      </c>
      <c r="I160">
        <v>0</v>
      </c>
      <c r="J160">
        <v>98</v>
      </c>
      <c r="K160">
        <v>98</v>
      </c>
    </row>
    <row r="161" spans="1:11" x14ac:dyDescent="0.15">
      <c r="A161" t="s">
        <v>138</v>
      </c>
      <c r="B161" t="s">
        <v>189</v>
      </c>
      <c r="C161" t="s">
        <v>145</v>
      </c>
      <c r="D161" t="s">
        <v>455</v>
      </c>
      <c r="E161" t="s">
        <v>456</v>
      </c>
      <c r="F161" t="s">
        <v>455</v>
      </c>
      <c r="G161" t="s">
        <v>21</v>
      </c>
      <c r="H161" t="s">
        <v>22</v>
      </c>
      <c r="I161">
        <v>1</v>
      </c>
      <c r="J161">
        <v>1</v>
      </c>
      <c r="K161">
        <v>0</v>
      </c>
    </row>
    <row r="162" spans="1:11" x14ac:dyDescent="0.15">
      <c r="A162" t="s">
        <v>138</v>
      </c>
      <c r="B162" t="s">
        <v>189</v>
      </c>
      <c r="C162" t="s">
        <v>145</v>
      </c>
      <c r="D162" t="s">
        <v>457</v>
      </c>
      <c r="E162" t="s">
        <v>458</v>
      </c>
      <c r="F162" t="s">
        <v>457</v>
      </c>
      <c r="G162" t="s">
        <v>21</v>
      </c>
      <c r="H162" t="s">
        <v>22</v>
      </c>
      <c r="I162">
        <v>79</v>
      </c>
      <c r="J162">
        <v>94</v>
      </c>
      <c r="K162">
        <v>15</v>
      </c>
    </row>
    <row r="163" spans="1:11" x14ac:dyDescent="0.15">
      <c r="A163" t="s">
        <v>138</v>
      </c>
      <c r="B163" t="s">
        <v>189</v>
      </c>
      <c r="C163" t="s">
        <v>145</v>
      </c>
      <c r="D163" t="s">
        <v>459</v>
      </c>
      <c r="E163" t="s">
        <v>460</v>
      </c>
      <c r="F163" t="s">
        <v>459</v>
      </c>
      <c r="G163" t="s">
        <v>21</v>
      </c>
      <c r="H163" t="s">
        <v>22</v>
      </c>
      <c r="I163">
        <v>1</v>
      </c>
      <c r="J163">
        <v>1</v>
      </c>
      <c r="K163">
        <v>0</v>
      </c>
    </row>
    <row r="164" spans="1:11" x14ac:dyDescent="0.15">
      <c r="A164" t="s">
        <v>138</v>
      </c>
      <c r="B164" t="s">
        <v>189</v>
      </c>
      <c r="C164" t="s">
        <v>145</v>
      </c>
      <c r="D164" t="s">
        <v>461</v>
      </c>
      <c r="E164" t="s">
        <v>462</v>
      </c>
      <c r="F164" t="s">
        <v>461</v>
      </c>
      <c r="G164" t="s">
        <v>21</v>
      </c>
      <c r="H164" t="s">
        <v>22</v>
      </c>
      <c r="I164">
        <v>7</v>
      </c>
      <c r="J164">
        <v>40</v>
      </c>
      <c r="K164">
        <v>33</v>
      </c>
    </row>
    <row r="165" spans="1:11" x14ac:dyDescent="0.15">
      <c r="A165" t="s">
        <v>138</v>
      </c>
      <c r="B165" t="s">
        <v>189</v>
      </c>
      <c r="C165" t="s">
        <v>145</v>
      </c>
      <c r="D165" t="s">
        <v>463</v>
      </c>
      <c r="E165" t="s">
        <v>464</v>
      </c>
      <c r="F165" t="s">
        <v>463</v>
      </c>
      <c r="G165" t="s">
        <v>21</v>
      </c>
      <c r="H165" t="s">
        <v>22</v>
      </c>
      <c r="I165">
        <v>7</v>
      </c>
      <c r="J165">
        <v>21</v>
      </c>
      <c r="K165">
        <v>14</v>
      </c>
    </row>
    <row r="166" spans="1:11" x14ac:dyDescent="0.15">
      <c r="A166" t="s">
        <v>138</v>
      </c>
      <c r="B166" t="s">
        <v>189</v>
      </c>
      <c r="C166" t="s">
        <v>145</v>
      </c>
      <c r="D166" t="s">
        <v>465</v>
      </c>
      <c r="E166" t="s">
        <v>466</v>
      </c>
      <c r="F166" t="s">
        <v>465</v>
      </c>
      <c r="G166" t="s">
        <v>21</v>
      </c>
      <c r="H166" t="s">
        <v>277</v>
      </c>
      <c r="I166">
        <v>1</v>
      </c>
      <c r="J166">
        <v>1</v>
      </c>
      <c r="K166">
        <v>0</v>
      </c>
    </row>
    <row r="167" spans="1:11" x14ac:dyDescent="0.15">
      <c r="A167" t="s">
        <v>138</v>
      </c>
      <c r="B167" t="s">
        <v>189</v>
      </c>
      <c r="C167" t="s">
        <v>145</v>
      </c>
      <c r="D167" t="s">
        <v>467</v>
      </c>
      <c r="E167" t="s">
        <v>468</v>
      </c>
      <c r="F167" t="s">
        <v>467</v>
      </c>
      <c r="G167" t="s">
        <v>21</v>
      </c>
      <c r="H167" t="s">
        <v>277</v>
      </c>
      <c r="I167">
        <v>1</v>
      </c>
      <c r="J167">
        <v>1</v>
      </c>
      <c r="K167">
        <v>0</v>
      </c>
    </row>
    <row r="168" spans="1:11" x14ac:dyDescent="0.15">
      <c r="A168" t="s">
        <v>138</v>
      </c>
      <c r="B168" t="s">
        <v>189</v>
      </c>
      <c r="C168" t="s">
        <v>145</v>
      </c>
      <c r="D168" t="s">
        <v>469</v>
      </c>
      <c r="E168" t="s">
        <v>470</v>
      </c>
      <c r="F168" t="s">
        <v>469</v>
      </c>
      <c r="G168" t="s">
        <v>21</v>
      </c>
      <c r="H168" t="s">
        <v>22</v>
      </c>
      <c r="I168">
        <v>3</v>
      </c>
      <c r="J168">
        <v>21</v>
      </c>
      <c r="K168">
        <v>18</v>
      </c>
    </row>
    <row r="169" spans="1:11" x14ac:dyDescent="0.15">
      <c r="A169" t="s">
        <v>138</v>
      </c>
      <c r="B169" t="s">
        <v>189</v>
      </c>
      <c r="C169" t="s">
        <v>145</v>
      </c>
      <c r="D169" t="s">
        <v>471</v>
      </c>
      <c r="E169" t="s">
        <v>472</v>
      </c>
      <c r="F169" t="s">
        <v>471</v>
      </c>
      <c r="G169" t="s">
        <v>21</v>
      </c>
      <c r="H169" t="s">
        <v>277</v>
      </c>
      <c r="I169">
        <v>1</v>
      </c>
      <c r="J169">
        <v>1</v>
      </c>
      <c r="K169">
        <v>0</v>
      </c>
    </row>
    <row r="170" spans="1:11" x14ac:dyDescent="0.15">
      <c r="A170" t="s">
        <v>138</v>
      </c>
      <c r="B170" t="s">
        <v>189</v>
      </c>
      <c r="C170" t="s">
        <v>145</v>
      </c>
      <c r="D170" t="s">
        <v>473</v>
      </c>
      <c r="E170" t="s">
        <v>474</v>
      </c>
      <c r="F170" t="s">
        <v>473</v>
      </c>
      <c r="G170" t="s">
        <v>21</v>
      </c>
      <c r="H170" t="s">
        <v>22</v>
      </c>
      <c r="I170">
        <v>149</v>
      </c>
      <c r="J170">
        <v>170</v>
      </c>
      <c r="K170">
        <v>21</v>
      </c>
    </row>
    <row r="171" spans="1:11" x14ac:dyDescent="0.15">
      <c r="A171" t="s">
        <v>138</v>
      </c>
      <c r="B171" t="s">
        <v>189</v>
      </c>
      <c r="C171" t="s">
        <v>145</v>
      </c>
      <c r="D171" t="s">
        <v>475</v>
      </c>
      <c r="E171" t="s">
        <v>476</v>
      </c>
      <c r="F171" t="s">
        <v>475</v>
      </c>
      <c r="G171" t="s">
        <v>21</v>
      </c>
      <c r="H171" t="s">
        <v>22</v>
      </c>
      <c r="I171">
        <v>1</v>
      </c>
      <c r="J171">
        <v>1</v>
      </c>
      <c r="K171">
        <v>0</v>
      </c>
    </row>
    <row r="172" spans="1:11" x14ac:dyDescent="0.15">
      <c r="A172" t="s">
        <v>138</v>
      </c>
      <c r="B172" t="s">
        <v>189</v>
      </c>
      <c r="C172" t="s">
        <v>145</v>
      </c>
      <c r="D172" t="s">
        <v>477</v>
      </c>
      <c r="E172" t="s">
        <v>478</v>
      </c>
      <c r="F172" t="s">
        <v>477</v>
      </c>
      <c r="G172" t="s">
        <v>21</v>
      </c>
      <c r="H172" t="s">
        <v>277</v>
      </c>
      <c r="I172">
        <v>1</v>
      </c>
      <c r="J172">
        <v>1</v>
      </c>
      <c r="K172">
        <v>0</v>
      </c>
    </row>
    <row r="173" spans="1:11" x14ac:dyDescent="0.15">
      <c r="A173" t="s">
        <v>138</v>
      </c>
      <c r="B173" t="s">
        <v>189</v>
      </c>
      <c r="C173" t="s">
        <v>145</v>
      </c>
      <c r="D173" t="s">
        <v>479</v>
      </c>
      <c r="E173" t="s">
        <v>480</v>
      </c>
      <c r="F173" t="s">
        <v>479</v>
      </c>
      <c r="G173" t="s">
        <v>21</v>
      </c>
      <c r="H173" t="s">
        <v>22</v>
      </c>
      <c r="I173">
        <v>3</v>
      </c>
      <c r="J173">
        <v>98</v>
      </c>
      <c r="K173">
        <v>95</v>
      </c>
    </row>
    <row r="174" spans="1:11" x14ac:dyDescent="0.15">
      <c r="A174" t="s">
        <v>138</v>
      </c>
      <c r="B174" t="s">
        <v>189</v>
      </c>
      <c r="C174" t="s">
        <v>145</v>
      </c>
      <c r="D174" t="s">
        <v>481</v>
      </c>
      <c r="E174" t="s">
        <v>482</v>
      </c>
      <c r="F174" t="s">
        <v>481</v>
      </c>
      <c r="G174" t="s">
        <v>21</v>
      </c>
      <c r="H174" t="s">
        <v>22</v>
      </c>
      <c r="I174">
        <v>74</v>
      </c>
      <c r="J174">
        <v>82</v>
      </c>
      <c r="K174">
        <v>8</v>
      </c>
    </row>
    <row r="175" spans="1:11" x14ac:dyDescent="0.15">
      <c r="A175" t="s">
        <v>138</v>
      </c>
      <c r="B175" t="s">
        <v>189</v>
      </c>
      <c r="C175" t="s">
        <v>145</v>
      </c>
      <c r="D175" t="s">
        <v>483</v>
      </c>
      <c r="E175" t="s">
        <v>484</v>
      </c>
      <c r="F175" t="s">
        <v>483</v>
      </c>
      <c r="G175" t="s">
        <v>21</v>
      </c>
      <c r="H175" t="s">
        <v>22</v>
      </c>
      <c r="I175">
        <v>1</v>
      </c>
      <c r="J175">
        <v>1</v>
      </c>
      <c r="K175">
        <v>0</v>
      </c>
    </row>
    <row r="176" spans="1:11" x14ac:dyDescent="0.15">
      <c r="A176" t="s">
        <v>138</v>
      </c>
      <c r="B176" t="s">
        <v>189</v>
      </c>
      <c r="C176" t="s">
        <v>145</v>
      </c>
      <c r="D176" t="s">
        <v>485</v>
      </c>
      <c r="E176" t="s">
        <v>486</v>
      </c>
      <c r="F176" t="s">
        <v>485</v>
      </c>
      <c r="G176" t="s">
        <v>21</v>
      </c>
      <c r="H176" t="s">
        <v>22</v>
      </c>
      <c r="I176">
        <v>11</v>
      </c>
      <c r="J176">
        <v>66</v>
      </c>
      <c r="K176">
        <v>55</v>
      </c>
    </row>
    <row r="177" spans="1:11" x14ac:dyDescent="0.15">
      <c r="A177" t="s">
        <v>138</v>
      </c>
      <c r="B177" t="s">
        <v>189</v>
      </c>
      <c r="C177" t="s">
        <v>145</v>
      </c>
      <c r="D177" t="s">
        <v>487</v>
      </c>
      <c r="E177" t="s">
        <v>488</v>
      </c>
      <c r="F177" t="s">
        <v>487</v>
      </c>
      <c r="G177" t="s">
        <v>21</v>
      </c>
      <c r="H177" t="s">
        <v>22</v>
      </c>
      <c r="I177">
        <v>2</v>
      </c>
      <c r="J177">
        <v>3</v>
      </c>
      <c r="K177">
        <v>1</v>
      </c>
    </row>
    <row r="178" spans="1:11" x14ac:dyDescent="0.15">
      <c r="A178" t="s">
        <v>138</v>
      </c>
      <c r="B178" t="s">
        <v>189</v>
      </c>
      <c r="C178" t="s">
        <v>145</v>
      </c>
      <c r="D178" t="s">
        <v>489</v>
      </c>
      <c r="E178" t="s">
        <v>490</v>
      </c>
      <c r="F178" t="s">
        <v>489</v>
      </c>
      <c r="G178" t="s">
        <v>21</v>
      </c>
      <c r="H178" t="s">
        <v>22</v>
      </c>
      <c r="I178">
        <v>12</v>
      </c>
      <c r="J178">
        <v>12</v>
      </c>
      <c r="K178">
        <v>0</v>
      </c>
    </row>
    <row r="179" spans="1:11" x14ac:dyDescent="0.15">
      <c r="A179" t="s">
        <v>138</v>
      </c>
      <c r="B179" t="s">
        <v>189</v>
      </c>
      <c r="C179" t="s">
        <v>145</v>
      </c>
      <c r="D179" t="s">
        <v>491</v>
      </c>
      <c r="E179" t="s">
        <v>488</v>
      </c>
      <c r="F179" t="s">
        <v>491</v>
      </c>
      <c r="G179" t="s">
        <v>21</v>
      </c>
      <c r="H179" t="s">
        <v>22</v>
      </c>
      <c r="I179">
        <v>31</v>
      </c>
      <c r="J179">
        <v>36</v>
      </c>
      <c r="K179">
        <v>5</v>
      </c>
    </row>
    <row r="180" spans="1:11" x14ac:dyDescent="0.15">
      <c r="A180" t="s">
        <v>138</v>
      </c>
      <c r="B180" t="s">
        <v>189</v>
      </c>
      <c r="C180" t="s">
        <v>145</v>
      </c>
      <c r="D180" t="s">
        <v>492</v>
      </c>
      <c r="E180" t="s">
        <v>493</v>
      </c>
      <c r="F180" t="s">
        <v>492</v>
      </c>
      <c r="G180" t="s">
        <v>21</v>
      </c>
      <c r="H180" t="s">
        <v>22</v>
      </c>
      <c r="I180">
        <v>0</v>
      </c>
      <c r="J180">
        <v>1</v>
      </c>
      <c r="K180">
        <v>1</v>
      </c>
    </row>
    <row r="181" spans="1:11" x14ac:dyDescent="0.15">
      <c r="A181" t="s">
        <v>138</v>
      </c>
      <c r="B181" t="s">
        <v>189</v>
      </c>
      <c r="C181" t="s">
        <v>145</v>
      </c>
      <c r="D181" t="s">
        <v>494</v>
      </c>
      <c r="E181" t="s">
        <v>495</v>
      </c>
      <c r="F181" t="s">
        <v>494</v>
      </c>
      <c r="G181" t="s">
        <v>21</v>
      </c>
      <c r="H181" t="s">
        <v>22</v>
      </c>
      <c r="I181">
        <v>6</v>
      </c>
      <c r="J181">
        <v>8</v>
      </c>
      <c r="K181">
        <v>2</v>
      </c>
    </row>
    <row r="182" spans="1:11" x14ac:dyDescent="0.15">
      <c r="A182" t="s">
        <v>138</v>
      </c>
      <c r="B182" t="s">
        <v>189</v>
      </c>
      <c r="C182" t="s">
        <v>145</v>
      </c>
      <c r="D182" t="s">
        <v>496</v>
      </c>
      <c r="E182" t="s">
        <v>497</v>
      </c>
      <c r="F182" t="s">
        <v>496</v>
      </c>
      <c r="G182" t="s">
        <v>21</v>
      </c>
      <c r="H182" t="s">
        <v>22</v>
      </c>
      <c r="I182">
        <v>7</v>
      </c>
      <c r="J182">
        <v>8</v>
      </c>
      <c r="K182">
        <v>1</v>
      </c>
    </row>
    <row r="183" spans="1:11" x14ac:dyDescent="0.15">
      <c r="A183" t="s">
        <v>138</v>
      </c>
      <c r="B183" t="s">
        <v>189</v>
      </c>
      <c r="C183" t="s">
        <v>145</v>
      </c>
      <c r="D183" t="s">
        <v>498</v>
      </c>
      <c r="E183" t="s">
        <v>499</v>
      </c>
      <c r="F183" t="s">
        <v>498</v>
      </c>
      <c r="G183" t="s">
        <v>21</v>
      </c>
      <c r="H183" t="s">
        <v>22</v>
      </c>
      <c r="I183">
        <v>21</v>
      </c>
      <c r="J183">
        <v>21</v>
      </c>
      <c r="K183">
        <v>0</v>
      </c>
    </row>
    <row r="184" spans="1:11" x14ac:dyDescent="0.15">
      <c r="A184" t="s">
        <v>15</v>
      </c>
      <c r="B184" t="s">
        <v>49</v>
      </c>
      <c r="C184" t="s">
        <v>145</v>
      </c>
      <c r="D184" t="s">
        <v>500</v>
      </c>
      <c r="E184" t="s">
        <v>501</v>
      </c>
      <c r="F184" t="s">
        <v>500</v>
      </c>
      <c r="G184" t="s">
        <v>21</v>
      </c>
      <c r="H184" t="s">
        <v>277</v>
      </c>
      <c r="I184">
        <v>1</v>
      </c>
      <c r="J184">
        <v>1</v>
      </c>
      <c r="K184">
        <v>0</v>
      </c>
    </row>
    <row r="185" spans="1:11" x14ac:dyDescent="0.15">
      <c r="A185" t="s">
        <v>15</v>
      </c>
      <c r="B185" t="s">
        <v>49</v>
      </c>
      <c r="C185" t="s">
        <v>145</v>
      </c>
      <c r="D185" t="s">
        <v>502</v>
      </c>
      <c r="E185" t="s">
        <v>503</v>
      </c>
      <c r="F185" t="s">
        <v>502</v>
      </c>
      <c r="G185" t="s">
        <v>21</v>
      </c>
      <c r="H185" t="s">
        <v>22</v>
      </c>
      <c r="I185">
        <v>1</v>
      </c>
      <c r="J185">
        <v>1</v>
      </c>
      <c r="K185">
        <v>0</v>
      </c>
    </row>
    <row r="186" spans="1:11" x14ac:dyDescent="0.15">
      <c r="A186" t="s">
        <v>15</v>
      </c>
      <c r="B186" t="s">
        <v>49</v>
      </c>
      <c r="C186" t="s">
        <v>145</v>
      </c>
      <c r="D186" t="s">
        <v>504</v>
      </c>
      <c r="E186" t="s">
        <v>505</v>
      </c>
      <c r="F186" t="s">
        <v>504</v>
      </c>
      <c r="G186" t="s">
        <v>21</v>
      </c>
      <c r="H186" t="s">
        <v>277</v>
      </c>
      <c r="I186">
        <v>1</v>
      </c>
      <c r="J186">
        <v>1</v>
      </c>
      <c r="K186">
        <v>0</v>
      </c>
    </row>
    <row r="187" spans="1:11" x14ac:dyDescent="0.15">
      <c r="A187" t="s">
        <v>15</v>
      </c>
      <c r="B187" t="s">
        <v>49</v>
      </c>
      <c r="C187" t="s">
        <v>145</v>
      </c>
      <c r="D187" t="s">
        <v>504</v>
      </c>
      <c r="E187" t="s">
        <v>505</v>
      </c>
      <c r="F187" t="s">
        <v>504</v>
      </c>
      <c r="G187" t="s">
        <v>21</v>
      </c>
      <c r="H187" t="s">
        <v>22</v>
      </c>
      <c r="I187">
        <v>1</v>
      </c>
      <c r="J187">
        <v>1</v>
      </c>
      <c r="K187">
        <v>0</v>
      </c>
    </row>
    <row r="188" spans="1:11" x14ac:dyDescent="0.15">
      <c r="A188" t="s">
        <v>138</v>
      </c>
      <c r="B188" t="s">
        <v>189</v>
      </c>
      <c r="C188" t="s">
        <v>145</v>
      </c>
      <c r="D188" t="s">
        <v>506</v>
      </c>
      <c r="E188" t="s">
        <v>507</v>
      </c>
      <c r="F188" t="s">
        <v>506</v>
      </c>
      <c r="G188" t="s">
        <v>21</v>
      </c>
      <c r="H188" t="s">
        <v>22</v>
      </c>
      <c r="I188">
        <v>12</v>
      </c>
      <c r="J188">
        <v>12</v>
      </c>
      <c r="K188">
        <v>0</v>
      </c>
    </row>
    <row r="189" spans="1:11" x14ac:dyDescent="0.15">
      <c r="A189" t="s">
        <v>138</v>
      </c>
      <c r="B189" t="s">
        <v>508</v>
      </c>
      <c r="C189" t="s">
        <v>145</v>
      </c>
      <c r="D189" t="s">
        <v>509</v>
      </c>
      <c r="E189" t="s">
        <v>510</v>
      </c>
      <c r="F189" t="s">
        <v>509</v>
      </c>
      <c r="G189" t="s">
        <v>21</v>
      </c>
      <c r="H189" t="s">
        <v>22</v>
      </c>
      <c r="I189">
        <v>1</v>
      </c>
      <c r="J189">
        <v>1</v>
      </c>
      <c r="K189">
        <v>0</v>
      </c>
    </row>
    <row r="190" spans="1:11" x14ac:dyDescent="0.15">
      <c r="A190" t="s">
        <v>138</v>
      </c>
      <c r="B190" t="s">
        <v>351</v>
      </c>
      <c r="C190" t="s">
        <v>511</v>
      </c>
      <c r="D190" t="s">
        <v>512</v>
      </c>
      <c r="E190" t="s">
        <v>513</v>
      </c>
      <c r="F190" t="s">
        <v>514</v>
      </c>
      <c r="G190" t="s">
        <v>217</v>
      </c>
      <c r="H190" t="s">
        <v>22</v>
      </c>
      <c r="I190">
        <v>1</v>
      </c>
      <c r="J190">
        <v>1</v>
      </c>
      <c r="K190">
        <v>0</v>
      </c>
    </row>
    <row r="191" spans="1:11" x14ac:dyDescent="0.15">
      <c r="A191" t="s">
        <v>184</v>
      </c>
      <c r="B191" t="s">
        <v>515</v>
      </c>
      <c r="C191" t="s">
        <v>145</v>
      </c>
      <c r="D191" t="s">
        <v>516</v>
      </c>
      <c r="E191" t="s">
        <v>517</v>
      </c>
      <c r="F191" t="s">
        <v>516</v>
      </c>
      <c r="G191" t="s">
        <v>21</v>
      </c>
      <c r="H191" t="s">
        <v>22</v>
      </c>
      <c r="I191">
        <v>4</v>
      </c>
      <c r="J191">
        <v>4</v>
      </c>
      <c r="K191">
        <v>0</v>
      </c>
    </row>
    <row r="192" spans="1:11" x14ac:dyDescent="0.15">
      <c r="A192" t="s">
        <v>184</v>
      </c>
      <c r="B192" t="s">
        <v>515</v>
      </c>
      <c r="C192" t="s">
        <v>145</v>
      </c>
      <c r="D192" t="s">
        <v>518</v>
      </c>
      <c r="E192" t="s">
        <v>519</v>
      </c>
      <c r="F192" t="s">
        <v>518</v>
      </c>
      <c r="G192" t="s">
        <v>21</v>
      </c>
      <c r="H192" t="s">
        <v>277</v>
      </c>
      <c r="I192">
        <v>1</v>
      </c>
      <c r="J192">
        <v>1</v>
      </c>
      <c r="K192">
        <v>0</v>
      </c>
    </row>
    <row r="193" spans="1:11" x14ac:dyDescent="0.15">
      <c r="A193" t="s">
        <v>184</v>
      </c>
      <c r="B193" t="s">
        <v>515</v>
      </c>
      <c r="C193" t="s">
        <v>145</v>
      </c>
      <c r="D193" t="s">
        <v>520</v>
      </c>
      <c r="E193" t="s">
        <v>521</v>
      </c>
      <c r="F193" t="s">
        <v>520</v>
      </c>
      <c r="G193" t="s">
        <v>21</v>
      </c>
      <c r="H193" t="s">
        <v>277</v>
      </c>
      <c r="I193">
        <v>1</v>
      </c>
      <c r="J193">
        <v>1</v>
      </c>
      <c r="K193">
        <v>0</v>
      </c>
    </row>
    <row r="194" spans="1:11" x14ac:dyDescent="0.15">
      <c r="A194" t="s">
        <v>15</v>
      </c>
      <c r="B194" t="s">
        <v>29</v>
      </c>
      <c r="C194" t="s">
        <v>440</v>
      </c>
      <c r="D194" t="s">
        <v>522</v>
      </c>
      <c r="E194" t="s">
        <v>523</v>
      </c>
      <c r="F194" t="s">
        <v>522</v>
      </c>
      <c r="G194" t="s">
        <v>217</v>
      </c>
      <c r="H194" t="s">
        <v>22</v>
      </c>
      <c r="I194">
        <v>2</v>
      </c>
      <c r="J194">
        <v>2</v>
      </c>
      <c r="K194">
        <v>0</v>
      </c>
    </row>
    <row r="195" spans="1:11" x14ac:dyDescent="0.15">
      <c r="A195" t="s">
        <v>15</v>
      </c>
      <c r="B195" t="s">
        <v>29</v>
      </c>
      <c r="C195" t="s">
        <v>440</v>
      </c>
      <c r="D195" t="s">
        <v>524</v>
      </c>
      <c r="E195" t="s">
        <v>525</v>
      </c>
      <c r="F195" t="s">
        <v>524</v>
      </c>
      <c r="G195" t="s">
        <v>235</v>
      </c>
      <c r="H195" t="s">
        <v>22</v>
      </c>
      <c r="I195">
        <v>2</v>
      </c>
      <c r="J195">
        <v>2</v>
      </c>
      <c r="K195">
        <v>0</v>
      </c>
    </row>
    <row r="196" spans="1:11" x14ac:dyDescent="0.15">
      <c r="A196" t="s">
        <v>184</v>
      </c>
      <c r="B196" t="s">
        <v>185</v>
      </c>
      <c r="C196" t="s">
        <v>186</v>
      </c>
      <c r="D196" t="s">
        <v>526</v>
      </c>
      <c r="E196" t="s">
        <v>527</v>
      </c>
      <c r="F196" t="s">
        <v>526</v>
      </c>
      <c r="G196" t="s">
        <v>21</v>
      </c>
      <c r="H196" t="s">
        <v>22</v>
      </c>
      <c r="I196">
        <v>1</v>
      </c>
      <c r="J196">
        <v>1</v>
      </c>
      <c r="K196">
        <v>0</v>
      </c>
    </row>
    <row r="197" spans="1:11" x14ac:dyDescent="0.15">
      <c r="A197" t="s">
        <v>15</v>
      </c>
      <c r="B197" t="s">
        <v>75</v>
      </c>
      <c r="C197" t="s">
        <v>528</v>
      </c>
      <c r="D197" t="s">
        <v>529</v>
      </c>
      <c r="E197" t="s">
        <v>530</v>
      </c>
      <c r="F197" t="s">
        <v>21</v>
      </c>
      <c r="G197" t="s">
        <v>217</v>
      </c>
      <c r="H197" t="s">
        <v>22</v>
      </c>
      <c r="I197">
        <v>2</v>
      </c>
      <c r="J197">
        <v>2</v>
      </c>
      <c r="K197">
        <v>0</v>
      </c>
    </row>
    <row r="198" spans="1:11" x14ac:dyDescent="0.15">
      <c r="A198" t="s">
        <v>15</v>
      </c>
      <c r="B198" t="s">
        <v>75</v>
      </c>
      <c r="C198" t="s">
        <v>528</v>
      </c>
      <c r="D198" t="s">
        <v>531</v>
      </c>
      <c r="E198" t="s">
        <v>532</v>
      </c>
      <c r="F198" t="s">
        <v>21</v>
      </c>
      <c r="G198" t="s">
        <v>217</v>
      </c>
      <c r="H198" t="s">
        <v>22</v>
      </c>
      <c r="I198">
        <v>16</v>
      </c>
      <c r="J198">
        <v>16</v>
      </c>
      <c r="K198">
        <v>0</v>
      </c>
    </row>
    <row r="199" spans="1:11" x14ac:dyDescent="0.15">
      <c r="A199" t="s">
        <v>15</v>
      </c>
      <c r="B199" t="s">
        <v>360</v>
      </c>
      <c r="C199" t="s">
        <v>528</v>
      </c>
      <c r="D199" t="s">
        <v>533</v>
      </c>
      <c r="E199" t="s">
        <v>534</v>
      </c>
      <c r="F199" t="s">
        <v>21</v>
      </c>
      <c r="G199" t="s">
        <v>217</v>
      </c>
      <c r="H199" t="s">
        <v>22</v>
      </c>
      <c r="I199">
        <v>14</v>
      </c>
      <c r="J199">
        <v>14</v>
      </c>
      <c r="K199">
        <v>0</v>
      </c>
    </row>
    <row r="200" spans="1:11" x14ac:dyDescent="0.15">
      <c r="A200" t="s">
        <v>15</v>
      </c>
      <c r="B200" t="s">
        <v>360</v>
      </c>
      <c r="C200" t="s">
        <v>528</v>
      </c>
      <c r="D200" t="s">
        <v>535</v>
      </c>
      <c r="E200" t="s">
        <v>534</v>
      </c>
      <c r="F200" t="s">
        <v>21</v>
      </c>
      <c r="G200" t="s">
        <v>217</v>
      </c>
      <c r="H200" t="s">
        <v>22</v>
      </c>
      <c r="I200">
        <v>16</v>
      </c>
      <c r="J200">
        <v>16</v>
      </c>
      <c r="K200">
        <v>0</v>
      </c>
    </row>
    <row r="201" spans="1:11" x14ac:dyDescent="0.15">
      <c r="A201" t="s">
        <v>15</v>
      </c>
      <c r="B201" t="s">
        <v>49</v>
      </c>
      <c r="C201" t="s">
        <v>528</v>
      </c>
      <c r="D201" t="s">
        <v>536</v>
      </c>
      <c r="E201" t="s">
        <v>537</v>
      </c>
      <c r="F201" t="s">
        <v>21</v>
      </c>
      <c r="G201" t="s">
        <v>217</v>
      </c>
      <c r="H201" t="s">
        <v>22</v>
      </c>
      <c r="I201">
        <v>1</v>
      </c>
      <c r="J201">
        <v>1</v>
      </c>
      <c r="K201">
        <v>0</v>
      </c>
    </row>
    <row r="202" spans="1:11" x14ac:dyDescent="0.15">
      <c r="A202" t="s">
        <v>15</v>
      </c>
      <c r="B202" t="s">
        <v>49</v>
      </c>
      <c r="C202" t="s">
        <v>528</v>
      </c>
      <c r="D202" t="s">
        <v>538</v>
      </c>
      <c r="E202" t="s">
        <v>539</v>
      </c>
      <c r="F202" t="s">
        <v>21</v>
      </c>
      <c r="G202" t="s">
        <v>217</v>
      </c>
      <c r="H202" t="s">
        <v>22</v>
      </c>
      <c r="I202">
        <v>16</v>
      </c>
      <c r="J202">
        <v>16</v>
      </c>
      <c r="K202">
        <v>0</v>
      </c>
    </row>
    <row r="203" spans="1:11" x14ac:dyDescent="0.15">
      <c r="A203" t="s">
        <v>15</v>
      </c>
      <c r="B203" t="s">
        <v>540</v>
      </c>
      <c r="C203" t="s">
        <v>528</v>
      </c>
      <c r="D203" t="s">
        <v>541</v>
      </c>
      <c r="E203" t="s">
        <v>542</v>
      </c>
      <c r="F203" t="s">
        <v>21</v>
      </c>
      <c r="G203" t="s">
        <v>322</v>
      </c>
      <c r="H203" t="s">
        <v>22</v>
      </c>
      <c r="I203">
        <v>8</v>
      </c>
      <c r="J203">
        <v>8</v>
      </c>
      <c r="K203">
        <v>0</v>
      </c>
    </row>
    <row r="204" spans="1:11" x14ac:dyDescent="0.15">
      <c r="A204" t="s">
        <v>15</v>
      </c>
      <c r="B204" t="s">
        <v>36</v>
      </c>
      <c r="C204" t="s">
        <v>528</v>
      </c>
      <c r="D204" t="s">
        <v>543</v>
      </c>
      <c r="E204" t="s">
        <v>544</v>
      </c>
      <c r="F204" t="s">
        <v>21</v>
      </c>
      <c r="G204" t="s">
        <v>545</v>
      </c>
      <c r="H204" t="s">
        <v>22</v>
      </c>
      <c r="I204">
        <v>10</v>
      </c>
      <c r="J204">
        <v>10</v>
      </c>
      <c r="K204">
        <v>0</v>
      </c>
    </row>
    <row r="205" spans="1:11" x14ac:dyDescent="0.15">
      <c r="A205" t="s">
        <v>15</v>
      </c>
      <c r="B205" t="s">
        <v>546</v>
      </c>
      <c r="C205" t="s">
        <v>528</v>
      </c>
      <c r="D205" t="s">
        <v>547</v>
      </c>
      <c r="E205" t="s">
        <v>548</v>
      </c>
      <c r="F205" t="s">
        <v>21</v>
      </c>
      <c r="G205" t="s">
        <v>545</v>
      </c>
      <c r="H205" t="s">
        <v>22</v>
      </c>
      <c r="I205">
        <v>21</v>
      </c>
      <c r="J205">
        <v>21</v>
      </c>
      <c r="K205">
        <v>0</v>
      </c>
    </row>
    <row r="206" spans="1:11" x14ac:dyDescent="0.15">
      <c r="A206" t="s">
        <v>15</v>
      </c>
      <c r="B206" t="s">
        <v>439</v>
      </c>
      <c r="C206" t="s">
        <v>528</v>
      </c>
      <c r="D206" t="s">
        <v>549</v>
      </c>
      <c r="E206" t="s">
        <v>550</v>
      </c>
      <c r="F206" t="s">
        <v>21</v>
      </c>
      <c r="G206" t="s">
        <v>545</v>
      </c>
      <c r="H206" t="s">
        <v>22</v>
      </c>
      <c r="I206">
        <v>4</v>
      </c>
      <c r="J206">
        <v>4</v>
      </c>
      <c r="K206">
        <v>0</v>
      </c>
    </row>
    <row r="207" spans="1:11" x14ac:dyDescent="0.15">
      <c r="A207" t="s">
        <v>15</v>
      </c>
      <c r="B207" t="s">
        <v>100</v>
      </c>
      <c r="C207" t="s">
        <v>528</v>
      </c>
      <c r="D207" t="s">
        <v>551</v>
      </c>
      <c r="E207" t="s">
        <v>552</v>
      </c>
      <c r="F207" t="s">
        <v>21</v>
      </c>
      <c r="G207" t="s">
        <v>545</v>
      </c>
      <c r="H207" t="s">
        <v>22</v>
      </c>
      <c r="I207">
        <v>16</v>
      </c>
      <c r="J207">
        <v>16</v>
      </c>
      <c r="K207">
        <v>0</v>
      </c>
    </row>
    <row r="208" spans="1:11" x14ac:dyDescent="0.15">
      <c r="A208" t="s">
        <v>15</v>
      </c>
      <c r="B208" t="s">
        <v>16</v>
      </c>
      <c r="C208" t="s">
        <v>528</v>
      </c>
      <c r="D208" t="s">
        <v>553</v>
      </c>
      <c r="E208" t="s">
        <v>554</v>
      </c>
      <c r="F208" t="s">
        <v>21</v>
      </c>
      <c r="G208" t="s">
        <v>545</v>
      </c>
      <c r="H208" t="s">
        <v>22</v>
      </c>
      <c r="I208">
        <v>17</v>
      </c>
      <c r="J208">
        <v>17</v>
      </c>
      <c r="K208">
        <v>0</v>
      </c>
    </row>
    <row r="209" spans="1:11" x14ac:dyDescent="0.15">
      <c r="A209" t="s">
        <v>15</v>
      </c>
      <c r="B209" t="s">
        <v>16</v>
      </c>
      <c r="C209" t="s">
        <v>528</v>
      </c>
      <c r="D209" t="s">
        <v>555</v>
      </c>
      <c r="E209" t="s">
        <v>556</v>
      </c>
      <c r="F209" t="s">
        <v>21</v>
      </c>
      <c r="G209" t="s">
        <v>545</v>
      </c>
      <c r="H209" t="s">
        <v>22</v>
      </c>
      <c r="I209">
        <v>20</v>
      </c>
      <c r="J209">
        <v>20</v>
      </c>
      <c r="K209">
        <v>0</v>
      </c>
    </row>
    <row r="210" spans="1:11" x14ac:dyDescent="0.15">
      <c r="A210" t="s">
        <v>15</v>
      </c>
      <c r="B210" t="s">
        <v>16</v>
      </c>
      <c r="C210" t="s">
        <v>528</v>
      </c>
      <c r="D210" t="s">
        <v>557</v>
      </c>
      <c r="E210" t="s">
        <v>558</v>
      </c>
      <c r="F210" t="s">
        <v>21</v>
      </c>
      <c r="G210" t="s">
        <v>545</v>
      </c>
      <c r="H210" t="s">
        <v>22</v>
      </c>
      <c r="I210">
        <v>16</v>
      </c>
      <c r="J210">
        <v>16</v>
      </c>
      <c r="K210">
        <v>0</v>
      </c>
    </row>
    <row r="211" spans="1:11" x14ac:dyDescent="0.15">
      <c r="A211" t="s">
        <v>15</v>
      </c>
      <c r="B211" t="s">
        <v>559</v>
      </c>
      <c r="C211" t="s">
        <v>528</v>
      </c>
      <c r="D211" t="s">
        <v>560</v>
      </c>
      <c r="E211" t="s">
        <v>561</v>
      </c>
      <c r="F211" t="s">
        <v>21</v>
      </c>
      <c r="G211" t="s">
        <v>545</v>
      </c>
      <c r="H211" t="s">
        <v>22</v>
      </c>
      <c r="I211">
        <v>8</v>
      </c>
      <c r="J211">
        <v>8</v>
      </c>
      <c r="K211">
        <v>0</v>
      </c>
    </row>
    <row r="212" spans="1:11" x14ac:dyDescent="0.15">
      <c r="A212" t="s">
        <v>303</v>
      </c>
      <c r="B212" t="s">
        <v>304</v>
      </c>
      <c r="C212" t="s">
        <v>145</v>
      </c>
      <c r="D212" t="s">
        <v>562</v>
      </c>
      <c r="E212" t="s">
        <v>563</v>
      </c>
      <c r="F212" t="s">
        <v>21</v>
      </c>
      <c r="G212" t="s">
        <v>181</v>
      </c>
      <c r="H212" t="s">
        <v>22</v>
      </c>
      <c r="I212">
        <v>1</v>
      </c>
      <c r="J212">
        <v>1</v>
      </c>
      <c r="K212">
        <v>0</v>
      </c>
    </row>
    <row r="213" spans="1:11" x14ac:dyDescent="0.15">
      <c r="A213" t="s">
        <v>15</v>
      </c>
      <c r="B213" t="s">
        <v>439</v>
      </c>
      <c r="C213" t="s">
        <v>528</v>
      </c>
      <c r="D213" t="s">
        <v>564</v>
      </c>
      <c r="E213" t="s">
        <v>565</v>
      </c>
      <c r="F213" t="s">
        <v>21</v>
      </c>
      <c r="G213" t="s">
        <v>181</v>
      </c>
      <c r="H213" t="s">
        <v>22</v>
      </c>
      <c r="I213">
        <v>10</v>
      </c>
      <c r="J213">
        <v>10</v>
      </c>
      <c r="K213">
        <v>0</v>
      </c>
    </row>
    <row r="214" spans="1:11" x14ac:dyDescent="0.15">
      <c r="A214" t="s">
        <v>15</v>
      </c>
      <c r="B214" t="s">
        <v>566</v>
      </c>
      <c r="C214" t="s">
        <v>567</v>
      </c>
      <c r="D214" t="s">
        <v>568</v>
      </c>
      <c r="E214" t="s">
        <v>569</v>
      </c>
      <c r="F214" t="s">
        <v>21</v>
      </c>
      <c r="G214" t="s">
        <v>21</v>
      </c>
      <c r="H214" t="s">
        <v>22</v>
      </c>
      <c r="I214">
        <v>24</v>
      </c>
      <c r="J214">
        <v>24</v>
      </c>
      <c r="K214">
        <v>0</v>
      </c>
    </row>
    <row r="215" spans="1:11" x14ac:dyDescent="0.15">
      <c r="A215" t="s">
        <v>310</v>
      </c>
      <c r="B215" t="s">
        <v>311</v>
      </c>
      <c r="C215" t="s">
        <v>140</v>
      </c>
      <c r="D215" t="s">
        <v>570</v>
      </c>
      <c r="E215" t="s">
        <v>571</v>
      </c>
      <c r="F215" t="s">
        <v>21</v>
      </c>
      <c r="G215" t="s">
        <v>21</v>
      </c>
      <c r="H215" t="s">
        <v>22</v>
      </c>
      <c r="I215">
        <v>1</v>
      </c>
      <c r="J215">
        <v>1</v>
      </c>
      <c r="K215">
        <v>0</v>
      </c>
    </row>
    <row r="216" spans="1:11" x14ac:dyDescent="0.15">
      <c r="A216" t="s">
        <v>303</v>
      </c>
      <c r="B216" t="s">
        <v>572</v>
      </c>
      <c r="C216" t="s">
        <v>573</v>
      </c>
      <c r="D216" t="s">
        <v>574</v>
      </c>
      <c r="E216" t="s">
        <v>575</v>
      </c>
      <c r="F216" t="s">
        <v>21</v>
      </c>
      <c r="G216" t="s">
        <v>21</v>
      </c>
      <c r="H216" t="s">
        <v>22</v>
      </c>
      <c r="I216">
        <v>9</v>
      </c>
      <c r="J216">
        <v>9</v>
      </c>
      <c r="K216">
        <v>0</v>
      </c>
    </row>
    <row r="217" spans="1:11" x14ac:dyDescent="0.15">
      <c r="A217" t="s">
        <v>138</v>
      </c>
      <c r="B217" t="s">
        <v>576</v>
      </c>
      <c r="C217" t="s">
        <v>200</v>
      </c>
      <c r="D217" t="s">
        <v>577</v>
      </c>
      <c r="E217" t="s">
        <v>578</v>
      </c>
      <c r="F217" t="s">
        <v>21</v>
      </c>
      <c r="G217" t="s">
        <v>21</v>
      </c>
      <c r="H217" t="s">
        <v>22</v>
      </c>
      <c r="I217">
        <v>1</v>
      </c>
      <c r="J217">
        <v>1</v>
      </c>
      <c r="K217">
        <v>0</v>
      </c>
    </row>
    <row r="218" spans="1:11" x14ac:dyDescent="0.15">
      <c r="A218" t="s">
        <v>138</v>
      </c>
      <c r="B218" t="s">
        <v>381</v>
      </c>
      <c r="C218" t="s">
        <v>579</v>
      </c>
      <c r="D218" t="s">
        <v>580</v>
      </c>
      <c r="E218" t="s">
        <v>581</v>
      </c>
      <c r="F218" t="s">
        <v>21</v>
      </c>
      <c r="G218" t="s">
        <v>21</v>
      </c>
      <c r="H218" t="s">
        <v>22</v>
      </c>
      <c r="I218">
        <v>2</v>
      </c>
      <c r="J218">
        <v>2</v>
      </c>
      <c r="K218">
        <v>0</v>
      </c>
    </row>
    <row r="219" spans="1:11" x14ac:dyDescent="0.15">
      <c r="A219" t="s">
        <v>138</v>
      </c>
      <c r="B219" t="s">
        <v>381</v>
      </c>
      <c r="C219" t="s">
        <v>579</v>
      </c>
      <c r="D219" t="s">
        <v>582</v>
      </c>
      <c r="E219" t="s">
        <v>581</v>
      </c>
      <c r="F219" t="s">
        <v>21</v>
      </c>
      <c r="G219" t="s">
        <v>21</v>
      </c>
      <c r="H219" t="s">
        <v>22</v>
      </c>
      <c r="I219">
        <v>2</v>
      </c>
      <c r="J219">
        <v>2</v>
      </c>
      <c r="K219">
        <v>0</v>
      </c>
    </row>
    <row r="220" spans="1:11" x14ac:dyDescent="0.15">
      <c r="A220" t="s">
        <v>138</v>
      </c>
      <c r="B220" t="s">
        <v>139</v>
      </c>
      <c r="C220" t="s">
        <v>583</v>
      </c>
      <c r="D220" t="s">
        <v>584</v>
      </c>
      <c r="E220" t="s">
        <v>585</v>
      </c>
      <c r="F220" t="s">
        <v>21</v>
      </c>
      <c r="G220" t="s">
        <v>21</v>
      </c>
      <c r="H220" t="s">
        <v>22</v>
      </c>
      <c r="I220">
        <v>1</v>
      </c>
      <c r="J220">
        <v>1</v>
      </c>
      <c r="K220">
        <v>0</v>
      </c>
    </row>
    <row r="221" spans="1:11" x14ac:dyDescent="0.15">
      <c r="A221" t="s">
        <v>184</v>
      </c>
      <c r="B221" t="s">
        <v>185</v>
      </c>
      <c r="C221" t="s">
        <v>586</v>
      </c>
      <c r="D221" t="s">
        <v>587</v>
      </c>
      <c r="E221" t="s">
        <v>588</v>
      </c>
      <c r="F221" t="s">
        <v>21</v>
      </c>
      <c r="G221" t="s">
        <v>21</v>
      </c>
      <c r="H221" t="s">
        <v>22</v>
      </c>
      <c r="I221">
        <v>0</v>
      </c>
      <c r="J221">
        <v>1</v>
      </c>
      <c r="K221">
        <v>1</v>
      </c>
    </row>
    <row r="222" spans="1:11" x14ac:dyDescent="0.15">
      <c r="A222" t="s">
        <v>184</v>
      </c>
      <c r="B222" t="s">
        <v>185</v>
      </c>
      <c r="C222" t="s">
        <v>586</v>
      </c>
      <c r="D222" t="s">
        <v>589</v>
      </c>
      <c r="E222" t="s">
        <v>590</v>
      </c>
      <c r="F222" t="s">
        <v>21</v>
      </c>
      <c r="G222" t="s">
        <v>21</v>
      </c>
      <c r="H222" t="s">
        <v>22</v>
      </c>
      <c r="I222">
        <v>1</v>
      </c>
      <c r="J222">
        <v>1</v>
      </c>
      <c r="K222">
        <v>0</v>
      </c>
    </row>
    <row r="223" spans="1:11" x14ac:dyDescent="0.15">
      <c r="A223" t="s">
        <v>184</v>
      </c>
      <c r="B223" t="s">
        <v>185</v>
      </c>
      <c r="C223" t="s">
        <v>586</v>
      </c>
      <c r="D223" t="s">
        <v>591</v>
      </c>
      <c r="E223" t="s">
        <v>592</v>
      </c>
      <c r="F223" t="s">
        <v>21</v>
      </c>
      <c r="G223" t="s">
        <v>21</v>
      </c>
      <c r="H223" t="s">
        <v>22</v>
      </c>
      <c r="I223">
        <v>1</v>
      </c>
      <c r="J223">
        <v>1</v>
      </c>
      <c r="K223">
        <v>0</v>
      </c>
    </row>
    <row r="224" spans="1:11" x14ac:dyDescent="0.15">
      <c r="A224" t="s">
        <v>184</v>
      </c>
      <c r="B224" t="s">
        <v>185</v>
      </c>
      <c r="C224" t="s">
        <v>586</v>
      </c>
      <c r="D224" t="s">
        <v>593</v>
      </c>
      <c r="E224" t="s">
        <v>594</v>
      </c>
      <c r="F224" t="s">
        <v>21</v>
      </c>
      <c r="G224" t="s">
        <v>21</v>
      </c>
      <c r="H224" t="s">
        <v>22</v>
      </c>
      <c r="I224">
        <v>2</v>
      </c>
      <c r="J224">
        <v>2</v>
      </c>
      <c r="K224">
        <v>0</v>
      </c>
    </row>
    <row r="225" spans="1:11" x14ac:dyDescent="0.15">
      <c r="A225" t="s">
        <v>184</v>
      </c>
      <c r="B225" t="s">
        <v>185</v>
      </c>
      <c r="C225" t="s">
        <v>586</v>
      </c>
      <c r="D225" t="s">
        <v>595</v>
      </c>
      <c r="E225" t="s">
        <v>596</v>
      </c>
      <c r="F225" t="s">
        <v>21</v>
      </c>
      <c r="G225" t="s">
        <v>21</v>
      </c>
      <c r="H225" t="s">
        <v>22</v>
      </c>
      <c r="I225">
        <v>1</v>
      </c>
      <c r="J225">
        <v>1</v>
      </c>
      <c r="K225">
        <v>0</v>
      </c>
    </row>
    <row r="226" spans="1:11" x14ac:dyDescent="0.15">
      <c r="A226" t="s">
        <v>184</v>
      </c>
      <c r="B226" t="s">
        <v>185</v>
      </c>
      <c r="C226" t="s">
        <v>586</v>
      </c>
      <c r="D226" t="s">
        <v>597</v>
      </c>
      <c r="E226" t="s">
        <v>598</v>
      </c>
      <c r="F226" t="s">
        <v>21</v>
      </c>
      <c r="G226" t="s">
        <v>21</v>
      </c>
      <c r="H226" t="s">
        <v>22</v>
      </c>
      <c r="I226">
        <v>28</v>
      </c>
      <c r="J226">
        <v>28</v>
      </c>
      <c r="K226">
        <v>0</v>
      </c>
    </row>
    <row r="227" spans="1:11" x14ac:dyDescent="0.15">
      <c r="A227" t="s">
        <v>184</v>
      </c>
      <c r="B227" t="s">
        <v>185</v>
      </c>
      <c r="C227" t="s">
        <v>586</v>
      </c>
      <c r="D227" t="s">
        <v>599</v>
      </c>
      <c r="E227" t="s">
        <v>600</v>
      </c>
      <c r="F227" t="s">
        <v>21</v>
      </c>
      <c r="G227" t="s">
        <v>21</v>
      </c>
      <c r="H227" t="s">
        <v>22</v>
      </c>
      <c r="I227">
        <v>20</v>
      </c>
      <c r="J227">
        <v>20</v>
      </c>
      <c r="K227">
        <v>0</v>
      </c>
    </row>
    <row r="228" spans="1:11" x14ac:dyDescent="0.15">
      <c r="A228" t="s">
        <v>184</v>
      </c>
      <c r="B228" t="s">
        <v>185</v>
      </c>
      <c r="C228" t="s">
        <v>586</v>
      </c>
      <c r="D228" t="s">
        <v>601</v>
      </c>
      <c r="E228" t="s">
        <v>602</v>
      </c>
      <c r="F228" t="s">
        <v>21</v>
      </c>
      <c r="G228" t="s">
        <v>21</v>
      </c>
      <c r="H228" t="s">
        <v>22</v>
      </c>
      <c r="I228">
        <v>2</v>
      </c>
      <c r="J228">
        <v>2</v>
      </c>
      <c r="K228">
        <v>0</v>
      </c>
    </row>
    <row r="229" spans="1:11" x14ac:dyDescent="0.15">
      <c r="A229" t="s">
        <v>184</v>
      </c>
      <c r="B229" t="s">
        <v>185</v>
      </c>
      <c r="C229" t="s">
        <v>586</v>
      </c>
      <c r="D229" t="s">
        <v>603</v>
      </c>
      <c r="E229" t="s">
        <v>604</v>
      </c>
      <c r="F229" t="s">
        <v>21</v>
      </c>
      <c r="G229" t="s">
        <v>21</v>
      </c>
      <c r="H229" t="s">
        <v>22</v>
      </c>
      <c r="I229">
        <v>9</v>
      </c>
      <c r="J229">
        <v>9</v>
      </c>
      <c r="K229">
        <v>0</v>
      </c>
    </row>
    <row r="230" spans="1:11" x14ac:dyDescent="0.15">
      <c r="A230" t="s">
        <v>184</v>
      </c>
      <c r="B230" t="s">
        <v>185</v>
      </c>
      <c r="C230" t="s">
        <v>586</v>
      </c>
      <c r="D230" t="s">
        <v>605</v>
      </c>
      <c r="E230" t="s">
        <v>606</v>
      </c>
      <c r="F230" t="s">
        <v>21</v>
      </c>
      <c r="G230" t="s">
        <v>21</v>
      </c>
      <c r="H230" t="s">
        <v>22</v>
      </c>
      <c r="I230">
        <v>3</v>
      </c>
      <c r="J230">
        <v>3</v>
      </c>
      <c r="K230">
        <v>0</v>
      </c>
    </row>
    <row r="231" spans="1:11" x14ac:dyDescent="0.15">
      <c r="A231" t="s">
        <v>184</v>
      </c>
      <c r="B231" t="s">
        <v>185</v>
      </c>
      <c r="C231" t="s">
        <v>586</v>
      </c>
      <c r="D231" t="s">
        <v>607</v>
      </c>
      <c r="E231" t="s">
        <v>608</v>
      </c>
      <c r="F231" t="s">
        <v>21</v>
      </c>
      <c r="G231" t="s">
        <v>21</v>
      </c>
      <c r="H231" t="s">
        <v>22</v>
      </c>
      <c r="I231">
        <v>1</v>
      </c>
      <c r="J231">
        <v>1</v>
      </c>
      <c r="K231">
        <v>0</v>
      </c>
    </row>
    <row r="232" spans="1:11" x14ac:dyDescent="0.15">
      <c r="A232" t="s">
        <v>184</v>
      </c>
      <c r="B232" t="s">
        <v>185</v>
      </c>
      <c r="C232" t="s">
        <v>586</v>
      </c>
      <c r="D232" t="s">
        <v>609</v>
      </c>
      <c r="E232" t="s">
        <v>610</v>
      </c>
      <c r="F232" t="s">
        <v>21</v>
      </c>
      <c r="G232" t="s">
        <v>21</v>
      </c>
      <c r="H232" t="s">
        <v>22</v>
      </c>
      <c r="I232">
        <v>2</v>
      </c>
      <c r="J232">
        <v>2</v>
      </c>
      <c r="K232">
        <v>0</v>
      </c>
    </row>
    <row r="233" spans="1:11" x14ac:dyDescent="0.15">
      <c r="A233" t="s">
        <v>184</v>
      </c>
      <c r="B233" t="s">
        <v>185</v>
      </c>
      <c r="C233" t="s">
        <v>586</v>
      </c>
      <c r="D233" t="s">
        <v>611</v>
      </c>
      <c r="E233" t="s">
        <v>612</v>
      </c>
      <c r="F233" t="s">
        <v>21</v>
      </c>
      <c r="G233" t="s">
        <v>21</v>
      </c>
      <c r="H233" t="s">
        <v>22</v>
      </c>
      <c r="I233">
        <v>38</v>
      </c>
      <c r="J233">
        <v>39</v>
      </c>
      <c r="K233">
        <v>1</v>
      </c>
    </row>
    <row r="234" spans="1:11" x14ac:dyDescent="0.15">
      <c r="A234" t="s">
        <v>184</v>
      </c>
      <c r="B234" t="s">
        <v>185</v>
      </c>
      <c r="C234" t="s">
        <v>586</v>
      </c>
      <c r="D234" t="s">
        <v>613</v>
      </c>
      <c r="E234" t="s">
        <v>614</v>
      </c>
      <c r="F234" t="s">
        <v>21</v>
      </c>
      <c r="G234" t="s">
        <v>21</v>
      </c>
      <c r="H234" t="s">
        <v>22</v>
      </c>
      <c r="I234">
        <v>1</v>
      </c>
      <c r="J234">
        <v>1</v>
      </c>
      <c r="K234">
        <v>0</v>
      </c>
    </row>
    <row r="235" spans="1:11" x14ac:dyDescent="0.15">
      <c r="A235" t="s">
        <v>184</v>
      </c>
      <c r="B235" t="s">
        <v>185</v>
      </c>
      <c r="C235" t="s">
        <v>586</v>
      </c>
      <c r="D235" t="s">
        <v>615</v>
      </c>
      <c r="E235" t="s">
        <v>616</v>
      </c>
      <c r="F235" t="s">
        <v>21</v>
      </c>
      <c r="G235" t="s">
        <v>21</v>
      </c>
      <c r="H235" t="s">
        <v>22</v>
      </c>
      <c r="I235">
        <v>27</v>
      </c>
      <c r="J235">
        <v>27</v>
      </c>
      <c r="K235">
        <v>0</v>
      </c>
    </row>
    <row r="236" spans="1:11" x14ac:dyDescent="0.15">
      <c r="A236" t="s">
        <v>184</v>
      </c>
      <c r="B236" t="s">
        <v>185</v>
      </c>
      <c r="C236" t="s">
        <v>586</v>
      </c>
      <c r="D236" t="s">
        <v>617</v>
      </c>
      <c r="E236" t="s">
        <v>618</v>
      </c>
      <c r="F236" t="s">
        <v>21</v>
      </c>
      <c r="G236" t="s">
        <v>21</v>
      </c>
      <c r="H236" t="s">
        <v>22</v>
      </c>
      <c r="I236">
        <v>24</v>
      </c>
      <c r="J236">
        <v>24</v>
      </c>
      <c r="K236">
        <v>0</v>
      </c>
    </row>
    <row r="237" spans="1:11" x14ac:dyDescent="0.15">
      <c r="A237" t="s">
        <v>184</v>
      </c>
      <c r="B237" t="s">
        <v>185</v>
      </c>
      <c r="C237" t="s">
        <v>586</v>
      </c>
      <c r="D237" t="s">
        <v>619</v>
      </c>
      <c r="E237" t="s">
        <v>620</v>
      </c>
      <c r="F237" t="s">
        <v>21</v>
      </c>
      <c r="G237" t="s">
        <v>21</v>
      </c>
      <c r="H237" t="s">
        <v>22</v>
      </c>
      <c r="I237">
        <v>7</v>
      </c>
      <c r="J237">
        <v>7</v>
      </c>
      <c r="K237">
        <v>0</v>
      </c>
    </row>
    <row r="238" spans="1:11" x14ac:dyDescent="0.15">
      <c r="A238" t="s">
        <v>184</v>
      </c>
      <c r="B238" t="s">
        <v>185</v>
      </c>
      <c r="C238" t="s">
        <v>586</v>
      </c>
      <c r="D238" t="s">
        <v>621</v>
      </c>
      <c r="E238" t="s">
        <v>622</v>
      </c>
      <c r="F238" t="s">
        <v>21</v>
      </c>
      <c r="G238" t="s">
        <v>21</v>
      </c>
      <c r="H238" t="s">
        <v>22</v>
      </c>
      <c r="I238">
        <v>8</v>
      </c>
      <c r="J238">
        <v>8</v>
      </c>
      <c r="K238">
        <v>0</v>
      </c>
    </row>
    <row r="239" spans="1:11" x14ac:dyDescent="0.15">
      <c r="A239" t="s">
        <v>184</v>
      </c>
      <c r="B239" t="s">
        <v>623</v>
      </c>
      <c r="C239" t="s">
        <v>624</v>
      </c>
      <c r="D239" t="s">
        <v>625</v>
      </c>
      <c r="E239" t="s">
        <v>626</v>
      </c>
      <c r="F239" t="s">
        <v>21</v>
      </c>
      <c r="G239" t="s">
        <v>21</v>
      </c>
      <c r="H239" t="s">
        <v>22</v>
      </c>
      <c r="I239">
        <v>1</v>
      </c>
      <c r="J239">
        <v>1</v>
      </c>
      <c r="K239">
        <v>0</v>
      </c>
    </row>
    <row r="240" spans="1:11" x14ac:dyDescent="0.15">
      <c r="A240" t="s">
        <v>184</v>
      </c>
      <c r="B240" t="s">
        <v>185</v>
      </c>
      <c r="C240" t="s">
        <v>586</v>
      </c>
      <c r="D240" t="s">
        <v>627</v>
      </c>
      <c r="E240" t="s">
        <v>628</v>
      </c>
      <c r="F240" t="s">
        <v>21</v>
      </c>
      <c r="G240" t="s">
        <v>21</v>
      </c>
      <c r="H240" t="s">
        <v>22</v>
      </c>
      <c r="I240">
        <v>1</v>
      </c>
      <c r="J240">
        <v>2</v>
      </c>
      <c r="K240">
        <v>1</v>
      </c>
    </row>
    <row r="241" spans="1:11" x14ac:dyDescent="0.15">
      <c r="A241" t="s">
        <v>184</v>
      </c>
      <c r="B241" t="s">
        <v>185</v>
      </c>
      <c r="C241" t="s">
        <v>586</v>
      </c>
      <c r="D241" t="s">
        <v>629</v>
      </c>
      <c r="E241" t="s">
        <v>630</v>
      </c>
      <c r="F241" t="s">
        <v>21</v>
      </c>
      <c r="G241" t="s">
        <v>21</v>
      </c>
      <c r="H241" t="s">
        <v>22</v>
      </c>
      <c r="I241">
        <v>1</v>
      </c>
      <c r="J241">
        <v>1</v>
      </c>
      <c r="K241">
        <v>0</v>
      </c>
    </row>
    <row r="242" spans="1:11" x14ac:dyDescent="0.15">
      <c r="A242" t="s">
        <v>184</v>
      </c>
      <c r="B242" t="s">
        <v>185</v>
      </c>
      <c r="C242" t="s">
        <v>586</v>
      </c>
      <c r="D242" t="s">
        <v>631</v>
      </c>
      <c r="E242" t="s">
        <v>632</v>
      </c>
      <c r="F242" t="s">
        <v>21</v>
      </c>
      <c r="G242" t="s">
        <v>21</v>
      </c>
      <c r="H242" t="s">
        <v>22</v>
      </c>
      <c r="I242">
        <v>1</v>
      </c>
      <c r="J242">
        <v>1</v>
      </c>
      <c r="K242">
        <v>0</v>
      </c>
    </row>
    <row r="243" spans="1:11" x14ac:dyDescent="0.15">
      <c r="A243" t="s">
        <v>184</v>
      </c>
      <c r="B243" t="s">
        <v>185</v>
      </c>
      <c r="C243" t="s">
        <v>586</v>
      </c>
      <c r="D243" t="s">
        <v>633</v>
      </c>
      <c r="E243" t="s">
        <v>634</v>
      </c>
      <c r="F243" t="s">
        <v>21</v>
      </c>
      <c r="G243" t="s">
        <v>21</v>
      </c>
      <c r="H243" t="s">
        <v>22</v>
      </c>
      <c r="I243">
        <v>2</v>
      </c>
      <c r="J243">
        <v>2</v>
      </c>
      <c r="K243">
        <v>0</v>
      </c>
    </row>
    <row r="244" spans="1:11" x14ac:dyDescent="0.15">
      <c r="A244" t="s">
        <v>184</v>
      </c>
      <c r="B244" t="s">
        <v>185</v>
      </c>
      <c r="C244" t="s">
        <v>586</v>
      </c>
      <c r="D244" t="s">
        <v>635</v>
      </c>
      <c r="E244" t="s">
        <v>636</v>
      </c>
      <c r="F244" t="s">
        <v>21</v>
      </c>
      <c r="G244" t="s">
        <v>21</v>
      </c>
      <c r="H244" t="s">
        <v>22</v>
      </c>
      <c r="I244">
        <v>29</v>
      </c>
      <c r="J244">
        <v>29</v>
      </c>
      <c r="K244">
        <v>0</v>
      </c>
    </row>
    <row r="245" spans="1:11" x14ac:dyDescent="0.15">
      <c r="A245" t="s">
        <v>184</v>
      </c>
      <c r="B245" t="s">
        <v>185</v>
      </c>
      <c r="C245" t="s">
        <v>586</v>
      </c>
      <c r="D245" t="s">
        <v>637</v>
      </c>
      <c r="E245" t="s">
        <v>638</v>
      </c>
      <c r="F245" t="s">
        <v>21</v>
      </c>
      <c r="G245" t="s">
        <v>21</v>
      </c>
      <c r="H245" t="s">
        <v>22</v>
      </c>
      <c r="I245">
        <v>19</v>
      </c>
      <c r="J245">
        <v>19</v>
      </c>
      <c r="K245">
        <v>0</v>
      </c>
    </row>
    <row r="246" spans="1:11" x14ac:dyDescent="0.15">
      <c r="A246" t="s">
        <v>184</v>
      </c>
      <c r="B246" t="s">
        <v>185</v>
      </c>
      <c r="C246" t="s">
        <v>586</v>
      </c>
      <c r="D246" t="s">
        <v>639</v>
      </c>
      <c r="E246" t="s">
        <v>640</v>
      </c>
      <c r="F246" t="s">
        <v>21</v>
      </c>
      <c r="G246" t="s">
        <v>21</v>
      </c>
      <c r="H246" t="s">
        <v>22</v>
      </c>
      <c r="I246">
        <v>1</v>
      </c>
      <c r="J246">
        <v>1</v>
      </c>
      <c r="K246">
        <v>0</v>
      </c>
    </row>
    <row r="247" spans="1:11" x14ac:dyDescent="0.15">
      <c r="A247" t="s">
        <v>184</v>
      </c>
      <c r="B247" t="s">
        <v>185</v>
      </c>
      <c r="C247" t="s">
        <v>586</v>
      </c>
      <c r="D247" t="s">
        <v>641</v>
      </c>
      <c r="E247" t="s">
        <v>642</v>
      </c>
      <c r="F247" t="s">
        <v>21</v>
      </c>
      <c r="G247" t="s">
        <v>21</v>
      </c>
      <c r="H247" t="s">
        <v>22</v>
      </c>
      <c r="I247">
        <v>3</v>
      </c>
      <c r="J247">
        <v>3</v>
      </c>
      <c r="K247">
        <v>0</v>
      </c>
    </row>
    <row r="248" spans="1:11" x14ac:dyDescent="0.15">
      <c r="A248" t="s">
        <v>184</v>
      </c>
      <c r="B248" t="s">
        <v>185</v>
      </c>
      <c r="C248" t="s">
        <v>586</v>
      </c>
      <c r="D248" t="s">
        <v>643</v>
      </c>
      <c r="E248" t="s">
        <v>644</v>
      </c>
      <c r="F248" t="s">
        <v>21</v>
      </c>
      <c r="G248" t="s">
        <v>21</v>
      </c>
      <c r="H248" t="s">
        <v>22</v>
      </c>
      <c r="I248">
        <v>10</v>
      </c>
      <c r="J248">
        <v>10</v>
      </c>
      <c r="K248">
        <v>0</v>
      </c>
    </row>
    <row r="249" spans="1:11" x14ac:dyDescent="0.15">
      <c r="A249" t="s">
        <v>184</v>
      </c>
      <c r="B249" t="s">
        <v>185</v>
      </c>
      <c r="C249" t="s">
        <v>586</v>
      </c>
      <c r="D249" t="s">
        <v>645</v>
      </c>
      <c r="E249" t="s">
        <v>646</v>
      </c>
      <c r="F249" t="s">
        <v>21</v>
      </c>
      <c r="G249" t="s">
        <v>21</v>
      </c>
      <c r="H249" t="s">
        <v>22</v>
      </c>
      <c r="I249">
        <v>4</v>
      </c>
      <c r="J249">
        <v>4</v>
      </c>
      <c r="K249">
        <v>0</v>
      </c>
    </row>
    <row r="250" spans="1:11" x14ac:dyDescent="0.15">
      <c r="A250" t="s">
        <v>184</v>
      </c>
      <c r="B250" t="s">
        <v>185</v>
      </c>
      <c r="C250" t="s">
        <v>586</v>
      </c>
      <c r="D250" t="s">
        <v>647</v>
      </c>
      <c r="E250" t="s">
        <v>648</v>
      </c>
      <c r="F250" t="s">
        <v>21</v>
      </c>
      <c r="G250" t="s">
        <v>21</v>
      </c>
      <c r="H250" t="s">
        <v>22</v>
      </c>
      <c r="I250">
        <v>1</v>
      </c>
      <c r="J250">
        <v>1</v>
      </c>
      <c r="K250">
        <v>0</v>
      </c>
    </row>
    <row r="251" spans="1:11" x14ac:dyDescent="0.15">
      <c r="A251" t="s">
        <v>184</v>
      </c>
      <c r="B251" t="s">
        <v>185</v>
      </c>
      <c r="C251" t="s">
        <v>586</v>
      </c>
      <c r="D251" t="s">
        <v>649</v>
      </c>
      <c r="E251" t="s">
        <v>650</v>
      </c>
      <c r="F251" t="s">
        <v>21</v>
      </c>
      <c r="G251" t="s">
        <v>21</v>
      </c>
      <c r="H251" t="s">
        <v>22</v>
      </c>
      <c r="I251">
        <v>4</v>
      </c>
      <c r="J251">
        <v>4</v>
      </c>
      <c r="K251">
        <v>0</v>
      </c>
    </row>
    <row r="252" spans="1:11" x14ac:dyDescent="0.15">
      <c r="A252" t="s">
        <v>184</v>
      </c>
      <c r="B252" t="s">
        <v>185</v>
      </c>
      <c r="C252" t="s">
        <v>586</v>
      </c>
      <c r="D252" t="s">
        <v>651</v>
      </c>
      <c r="E252" t="s">
        <v>652</v>
      </c>
      <c r="F252" t="s">
        <v>21</v>
      </c>
      <c r="G252" t="s">
        <v>21</v>
      </c>
      <c r="H252" t="s">
        <v>22</v>
      </c>
      <c r="I252">
        <v>4</v>
      </c>
      <c r="J252">
        <v>4</v>
      </c>
      <c r="K252">
        <v>0</v>
      </c>
    </row>
    <row r="253" spans="1:11" x14ac:dyDescent="0.15">
      <c r="A253" t="s">
        <v>184</v>
      </c>
      <c r="B253" t="s">
        <v>185</v>
      </c>
      <c r="C253" t="s">
        <v>586</v>
      </c>
      <c r="D253" t="s">
        <v>653</v>
      </c>
      <c r="E253" t="s">
        <v>654</v>
      </c>
      <c r="F253" t="s">
        <v>21</v>
      </c>
      <c r="G253" t="s">
        <v>21</v>
      </c>
      <c r="H253" t="s">
        <v>22</v>
      </c>
      <c r="I253">
        <v>5</v>
      </c>
      <c r="J253">
        <v>5</v>
      </c>
      <c r="K253">
        <v>0</v>
      </c>
    </row>
    <row r="254" spans="1:11" x14ac:dyDescent="0.15">
      <c r="A254" t="s">
        <v>184</v>
      </c>
      <c r="B254" t="s">
        <v>185</v>
      </c>
      <c r="C254" t="s">
        <v>586</v>
      </c>
      <c r="D254" t="s">
        <v>655</v>
      </c>
      <c r="E254" t="s">
        <v>656</v>
      </c>
      <c r="F254" t="s">
        <v>21</v>
      </c>
      <c r="G254" t="s">
        <v>21</v>
      </c>
      <c r="H254" t="s">
        <v>22</v>
      </c>
      <c r="I254">
        <v>42</v>
      </c>
      <c r="J254">
        <v>43</v>
      </c>
      <c r="K254">
        <v>1</v>
      </c>
    </row>
    <row r="255" spans="1:11" x14ac:dyDescent="0.15">
      <c r="A255" t="s">
        <v>184</v>
      </c>
      <c r="B255" t="s">
        <v>185</v>
      </c>
      <c r="C255" t="s">
        <v>586</v>
      </c>
      <c r="D255" t="s">
        <v>657</v>
      </c>
      <c r="E255" t="s">
        <v>658</v>
      </c>
      <c r="F255" t="s">
        <v>21</v>
      </c>
      <c r="G255" t="s">
        <v>21</v>
      </c>
      <c r="H255" t="s">
        <v>22</v>
      </c>
      <c r="I255">
        <v>31</v>
      </c>
      <c r="J255">
        <v>31</v>
      </c>
      <c r="K255">
        <v>0</v>
      </c>
    </row>
    <row r="256" spans="1:11" x14ac:dyDescent="0.15">
      <c r="A256" t="s">
        <v>184</v>
      </c>
      <c r="B256" t="s">
        <v>185</v>
      </c>
      <c r="C256" t="s">
        <v>586</v>
      </c>
      <c r="D256" t="s">
        <v>659</v>
      </c>
      <c r="E256" t="s">
        <v>660</v>
      </c>
      <c r="F256" t="s">
        <v>21</v>
      </c>
      <c r="G256" t="s">
        <v>21</v>
      </c>
      <c r="H256" t="s">
        <v>22</v>
      </c>
      <c r="I256">
        <v>26</v>
      </c>
      <c r="J256">
        <v>26</v>
      </c>
      <c r="K256">
        <v>0</v>
      </c>
    </row>
    <row r="257" spans="1:11" x14ac:dyDescent="0.15">
      <c r="A257" t="s">
        <v>184</v>
      </c>
      <c r="B257" t="s">
        <v>185</v>
      </c>
      <c r="C257" t="s">
        <v>586</v>
      </c>
      <c r="D257" t="s">
        <v>661</v>
      </c>
      <c r="E257" t="s">
        <v>662</v>
      </c>
      <c r="F257" t="s">
        <v>21</v>
      </c>
      <c r="G257" t="s">
        <v>21</v>
      </c>
      <c r="H257" t="s">
        <v>22</v>
      </c>
      <c r="I257">
        <v>7</v>
      </c>
      <c r="J257">
        <v>7</v>
      </c>
      <c r="K257">
        <v>0</v>
      </c>
    </row>
    <row r="258" spans="1:11" x14ac:dyDescent="0.15">
      <c r="A258" t="s">
        <v>184</v>
      </c>
      <c r="B258" t="s">
        <v>185</v>
      </c>
      <c r="C258" t="s">
        <v>586</v>
      </c>
      <c r="D258" t="s">
        <v>663</v>
      </c>
      <c r="E258" t="s">
        <v>664</v>
      </c>
      <c r="F258" t="s">
        <v>21</v>
      </c>
      <c r="G258" t="s">
        <v>21</v>
      </c>
      <c r="H258" t="s">
        <v>22</v>
      </c>
      <c r="I258">
        <v>5</v>
      </c>
      <c r="J258">
        <v>5</v>
      </c>
      <c r="K258">
        <v>0</v>
      </c>
    </row>
    <row r="259" spans="1:11" x14ac:dyDescent="0.15">
      <c r="A259" t="s">
        <v>184</v>
      </c>
      <c r="B259" t="s">
        <v>185</v>
      </c>
      <c r="C259" t="s">
        <v>586</v>
      </c>
      <c r="D259" t="s">
        <v>665</v>
      </c>
      <c r="E259" t="s">
        <v>666</v>
      </c>
      <c r="F259" t="s">
        <v>21</v>
      </c>
      <c r="G259" t="s">
        <v>21</v>
      </c>
      <c r="H259" t="s">
        <v>22</v>
      </c>
      <c r="I259">
        <v>1</v>
      </c>
      <c r="J259">
        <v>1</v>
      </c>
      <c r="K259">
        <v>0</v>
      </c>
    </row>
    <row r="260" spans="1:11" x14ac:dyDescent="0.15">
      <c r="A260" t="s">
        <v>138</v>
      </c>
      <c r="B260" t="s">
        <v>381</v>
      </c>
      <c r="C260" t="s">
        <v>667</v>
      </c>
      <c r="D260" t="s">
        <v>668</v>
      </c>
      <c r="E260" t="s">
        <v>669</v>
      </c>
      <c r="F260" t="s">
        <v>21</v>
      </c>
      <c r="G260" t="s">
        <v>21</v>
      </c>
      <c r="H260" t="s">
        <v>22</v>
      </c>
      <c r="I260">
        <v>3</v>
      </c>
      <c r="J260">
        <v>3</v>
      </c>
      <c r="K260">
        <v>0</v>
      </c>
    </row>
    <row r="261" spans="1:11" x14ac:dyDescent="0.15">
      <c r="A261" t="s">
        <v>138</v>
      </c>
      <c r="B261" t="s">
        <v>381</v>
      </c>
      <c r="C261" t="s">
        <v>667</v>
      </c>
      <c r="D261" t="s">
        <v>670</v>
      </c>
      <c r="E261" t="s">
        <v>671</v>
      </c>
      <c r="F261" t="s">
        <v>21</v>
      </c>
      <c r="G261" t="s">
        <v>21</v>
      </c>
      <c r="H261" t="s">
        <v>22</v>
      </c>
      <c r="I261">
        <v>5</v>
      </c>
      <c r="J261">
        <v>5</v>
      </c>
      <c r="K261">
        <v>0</v>
      </c>
    </row>
    <row r="262" spans="1:11" x14ac:dyDescent="0.15">
      <c r="A262" t="s">
        <v>138</v>
      </c>
      <c r="B262" t="s">
        <v>189</v>
      </c>
      <c r="C262" t="s">
        <v>195</v>
      </c>
      <c r="D262" t="s">
        <v>672</v>
      </c>
      <c r="E262" t="s">
        <v>673</v>
      </c>
      <c r="F262" t="s">
        <v>21</v>
      </c>
      <c r="G262" t="s">
        <v>21</v>
      </c>
      <c r="H262" t="s">
        <v>22</v>
      </c>
      <c r="I262">
        <v>2</v>
      </c>
      <c r="J262">
        <v>2</v>
      </c>
      <c r="K262">
        <v>0</v>
      </c>
    </row>
    <row r="263" spans="1:11" x14ac:dyDescent="0.15">
      <c r="A263" t="s">
        <v>138</v>
      </c>
      <c r="B263" t="s">
        <v>139</v>
      </c>
      <c r="C263" t="s">
        <v>583</v>
      </c>
      <c r="D263" t="s">
        <v>674</v>
      </c>
      <c r="E263" t="s">
        <v>675</v>
      </c>
      <c r="F263" t="s">
        <v>21</v>
      </c>
      <c r="G263" t="s">
        <v>21</v>
      </c>
      <c r="H263" t="s">
        <v>22</v>
      </c>
      <c r="I263">
        <v>1</v>
      </c>
      <c r="J263">
        <v>1</v>
      </c>
      <c r="K263">
        <v>0</v>
      </c>
    </row>
    <row r="264" spans="1:11" x14ac:dyDescent="0.15">
      <c r="A264" t="s">
        <v>15</v>
      </c>
      <c r="B264" t="s">
        <v>676</v>
      </c>
      <c r="C264" t="s">
        <v>677</v>
      </c>
      <c r="D264" t="s">
        <v>678</v>
      </c>
      <c r="E264" t="s">
        <v>679</v>
      </c>
      <c r="F264" t="s">
        <v>21</v>
      </c>
      <c r="G264" t="s">
        <v>21</v>
      </c>
      <c r="H264" t="s">
        <v>22</v>
      </c>
      <c r="I264">
        <v>7</v>
      </c>
      <c r="J264">
        <v>7</v>
      </c>
      <c r="K264">
        <v>0</v>
      </c>
    </row>
    <row r="265" spans="1:11" x14ac:dyDescent="0.15">
      <c r="A265" t="s">
        <v>15</v>
      </c>
      <c r="B265" t="s">
        <v>546</v>
      </c>
      <c r="C265" t="s">
        <v>680</v>
      </c>
      <c r="D265" t="s">
        <v>681</v>
      </c>
      <c r="E265" t="s">
        <v>682</v>
      </c>
      <c r="F265" t="s">
        <v>21</v>
      </c>
      <c r="G265" t="s">
        <v>21</v>
      </c>
      <c r="H265" t="s">
        <v>22</v>
      </c>
      <c r="I265">
        <v>1</v>
      </c>
      <c r="J265">
        <v>1</v>
      </c>
      <c r="K265">
        <v>0</v>
      </c>
    </row>
    <row r="266" spans="1:11" x14ac:dyDescent="0.15">
      <c r="A266" t="s">
        <v>138</v>
      </c>
      <c r="B266" t="s">
        <v>683</v>
      </c>
      <c r="C266" t="s">
        <v>684</v>
      </c>
      <c r="D266" t="s">
        <v>685</v>
      </c>
      <c r="E266" t="s">
        <v>686</v>
      </c>
      <c r="F266" t="s">
        <v>21</v>
      </c>
      <c r="G266" t="s">
        <v>21</v>
      </c>
      <c r="H266" t="s">
        <v>22</v>
      </c>
      <c r="I266">
        <v>1</v>
      </c>
      <c r="J266">
        <v>1</v>
      </c>
      <c r="K266">
        <v>0</v>
      </c>
    </row>
    <row r="267" spans="1:11" x14ac:dyDescent="0.15">
      <c r="A267" t="s">
        <v>138</v>
      </c>
      <c r="B267" t="s">
        <v>683</v>
      </c>
      <c r="C267" t="s">
        <v>684</v>
      </c>
      <c r="D267" t="s">
        <v>687</v>
      </c>
      <c r="E267" t="s">
        <v>688</v>
      </c>
      <c r="F267" t="s">
        <v>21</v>
      </c>
      <c r="G267" t="s">
        <v>21</v>
      </c>
      <c r="H267" t="s">
        <v>22</v>
      </c>
      <c r="I267">
        <v>256</v>
      </c>
      <c r="J267">
        <v>256</v>
      </c>
      <c r="K267">
        <v>0</v>
      </c>
    </row>
    <row r="268" spans="1:11" x14ac:dyDescent="0.15">
      <c r="A268" t="s">
        <v>138</v>
      </c>
      <c r="B268" t="s">
        <v>189</v>
      </c>
      <c r="C268" t="s">
        <v>195</v>
      </c>
      <c r="D268" t="s">
        <v>689</v>
      </c>
      <c r="E268" t="s">
        <v>690</v>
      </c>
      <c r="F268" t="s">
        <v>21</v>
      </c>
      <c r="G268" t="s">
        <v>21</v>
      </c>
      <c r="H268" t="s">
        <v>22</v>
      </c>
      <c r="I268">
        <v>1</v>
      </c>
      <c r="J268">
        <v>1</v>
      </c>
      <c r="K268">
        <v>0</v>
      </c>
    </row>
    <row r="269" spans="1:11" x14ac:dyDescent="0.15">
      <c r="A269" t="s">
        <v>303</v>
      </c>
      <c r="B269" t="s">
        <v>691</v>
      </c>
      <c r="C269" t="s">
        <v>692</v>
      </c>
      <c r="D269" t="s">
        <v>693</v>
      </c>
      <c r="E269" t="s">
        <v>694</v>
      </c>
      <c r="F269" t="s">
        <v>21</v>
      </c>
      <c r="G269" t="s">
        <v>21</v>
      </c>
      <c r="H269" t="s">
        <v>22</v>
      </c>
      <c r="I269">
        <v>5</v>
      </c>
      <c r="J269">
        <v>5</v>
      </c>
      <c r="K269">
        <v>0</v>
      </c>
    </row>
    <row r="270" spans="1:11" x14ac:dyDescent="0.15">
      <c r="A270" t="s">
        <v>303</v>
      </c>
      <c r="B270" t="s">
        <v>691</v>
      </c>
      <c r="C270" t="s">
        <v>695</v>
      </c>
      <c r="D270" t="s">
        <v>696</v>
      </c>
      <c r="E270" t="s">
        <v>697</v>
      </c>
      <c r="F270" t="s">
        <v>21</v>
      </c>
      <c r="G270" t="s">
        <v>21</v>
      </c>
      <c r="H270" t="s">
        <v>22</v>
      </c>
      <c r="I270">
        <v>1</v>
      </c>
      <c r="J270">
        <v>1</v>
      </c>
      <c r="K270">
        <v>0</v>
      </c>
    </row>
    <row r="271" spans="1:11" x14ac:dyDescent="0.15">
      <c r="A271" t="s">
        <v>303</v>
      </c>
      <c r="B271" t="s">
        <v>698</v>
      </c>
      <c r="C271" t="s">
        <v>145</v>
      </c>
      <c r="D271" t="s">
        <v>699</v>
      </c>
      <c r="E271" t="s">
        <v>700</v>
      </c>
      <c r="F271" t="s">
        <v>21</v>
      </c>
      <c r="G271" t="s">
        <v>21</v>
      </c>
      <c r="H271" t="s">
        <v>22</v>
      </c>
      <c r="I271">
        <v>9</v>
      </c>
      <c r="J271">
        <v>9</v>
      </c>
      <c r="K271">
        <v>0</v>
      </c>
    </row>
    <row r="272" spans="1:11" x14ac:dyDescent="0.15">
      <c r="A272" t="s">
        <v>303</v>
      </c>
      <c r="B272" t="s">
        <v>698</v>
      </c>
      <c r="C272" t="s">
        <v>145</v>
      </c>
      <c r="D272" t="s">
        <v>701</v>
      </c>
      <c r="E272" t="s">
        <v>702</v>
      </c>
      <c r="F272" t="s">
        <v>21</v>
      </c>
      <c r="G272" t="s">
        <v>21</v>
      </c>
      <c r="H272" t="s">
        <v>22</v>
      </c>
      <c r="I272">
        <v>3</v>
      </c>
      <c r="J272">
        <v>3</v>
      </c>
      <c r="K272">
        <v>0</v>
      </c>
    </row>
    <row r="273" spans="1:11" x14ac:dyDescent="0.15">
      <c r="A273" t="s">
        <v>303</v>
      </c>
      <c r="B273" t="s">
        <v>698</v>
      </c>
      <c r="C273" t="s">
        <v>145</v>
      </c>
      <c r="D273" t="s">
        <v>703</v>
      </c>
      <c r="E273" t="s">
        <v>704</v>
      </c>
      <c r="F273" t="s">
        <v>21</v>
      </c>
      <c r="G273" t="s">
        <v>21</v>
      </c>
      <c r="H273" t="s">
        <v>22</v>
      </c>
      <c r="I273">
        <v>1</v>
      </c>
      <c r="J273">
        <v>1</v>
      </c>
      <c r="K273">
        <v>0</v>
      </c>
    </row>
    <row r="274" spans="1:11" x14ac:dyDescent="0.15">
      <c r="A274" t="s">
        <v>303</v>
      </c>
      <c r="B274" t="s">
        <v>698</v>
      </c>
      <c r="C274" t="s">
        <v>145</v>
      </c>
      <c r="D274" t="s">
        <v>705</v>
      </c>
      <c r="E274" t="s">
        <v>706</v>
      </c>
      <c r="F274" t="s">
        <v>21</v>
      </c>
      <c r="G274" t="s">
        <v>21</v>
      </c>
      <c r="H274" t="s">
        <v>22</v>
      </c>
      <c r="I274">
        <v>9</v>
      </c>
      <c r="J274">
        <v>9</v>
      </c>
      <c r="K274">
        <v>0</v>
      </c>
    </row>
    <row r="275" spans="1:11" x14ac:dyDescent="0.15">
      <c r="A275" t="s">
        <v>303</v>
      </c>
      <c r="B275" t="s">
        <v>707</v>
      </c>
      <c r="C275" t="s">
        <v>667</v>
      </c>
      <c r="D275" t="s">
        <v>708</v>
      </c>
      <c r="E275" t="s">
        <v>709</v>
      </c>
      <c r="F275" t="s">
        <v>21</v>
      </c>
      <c r="G275" t="s">
        <v>21</v>
      </c>
      <c r="H275" t="s">
        <v>22</v>
      </c>
      <c r="I275">
        <v>1</v>
      </c>
      <c r="J275">
        <v>1</v>
      </c>
      <c r="K275">
        <v>0</v>
      </c>
    </row>
    <row r="276" spans="1:11" x14ac:dyDescent="0.15">
      <c r="A276" t="s">
        <v>303</v>
      </c>
      <c r="B276" t="s">
        <v>339</v>
      </c>
      <c r="C276" t="s">
        <v>145</v>
      </c>
      <c r="D276" t="s">
        <v>710</v>
      </c>
      <c r="E276" t="s">
        <v>711</v>
      </c>
      <c r="F276" t="s">
        <v>21</v>
      </c>
      <c r="G276" t="s">
        <v>21</v>
      </c>
      <c r="H276" t="s">
        <v>22</v>
      </c>
      <c r="I276">
        <v>1</v>
      </c>
      <c r="J276">
        <v>1</v>
      </c>
      <c r="K276">
        <v>0</v>
      </c>
    </row>
    <row r="277" spans="1:11" x14ac:dyDescent="0.15">
      <c r="A277" t="s">
        <v>303</v>
      </c>
      <c r="B277" t="s">
        <v>339</v>
      </c>
      <c r="C277" t="s">
        <v>145</v>
      </c>
      <c r="D277" t="s">
        <v>712</v>
      </c>
      <c r="E277" t="s">
        <v>713</v>
      </c>
      <c r="F277" t="s">
        <v>21</v>
      </c>
      <c r="G277" t="s">
        <v>21</v>
      </c>
      <c r="H277" t="s">
        <v>22</v>
      </c>
      <c r="I277">
        <v>1</v>
      </c>
      <c r="J277">
        <v>1</v>
      </c>
      <c r="K277">
        <v>0</v>
      </c>
    </row>
    <row r="278" spans="1:11" x14ac:dyDescent="0.15">
      <c r="A278" t="s">
        <v>303</v>
      </c>
      <c r="B278" t="s">
        <v>304</v>
      </c>
      <c r="C278" t="s">
        <v>145</v>
      </c>
      <c r="D278" t="s">
        <v>714</v>
      </c>
      <c r="E278" t="s">
        <v>715</v>
      </c>
      <c r="F278" t="s">
        <v>21</v>
      </c>
      <c r="G278" t="s">
        <v>21</v>
      </c>
      <c r="H278" t="s">
        <v>22</v>
      </c>
      <c r="I278">
        <v>1</v>
      </c>
      <c r="J278">
        <v>1</v>
      </c>
      <c r="K278">
        <v>0</v>
      </c>
    </row>
    <row r="279" spans="1:11" x14ac:dyDescent="0.15">
      <c r="A279" t="s">
        <v>184</v>
      </c>
      <c r="B279" t="s">
        <v>623</v>
      </c>
      <c r="C279" t="s">
        <v>716</v>
      </c>
      <c r="D279" t="s">
        <v>717</v>
      </c>
      <c r="E279" t="s">
        <v>718</v>
      </c>
      <c r="F279" t="s">
        <v>21</v>
      </c>
      <c r="G279" t="s">
        <v>21</v>
      </c>
      <c r="H279" t="s">
        <v>22</v>
      </c>
      <c r="I279">
        <v>13</v>
      </c>
      <c r="J279">
        <v>13</v>
      </c>
      <c r="K279">
        <v>0</v>
      </c>
    </row>
    <row r="280" spans="1:11" x14ac:dyDescent="0.15">
      <c r="A280" t="s">
        <v>184</v>
      </c>
      <c r="B280" t="s">
        <v>515</v>
      </c>
      <c r="C280" t="s">
        <v>716</v>
      </c>
      <c r="D280" t="s">
        <v>719</v>
      </c>
      <c r="E280" t="s">
        <v>720</v>
      </c>
      <c r="F280" t="s">
        <v>21</v>
      </c>
      <c r="G280" t="s">
        <v>21</v>
      </c>
      <c r="H280" t="s">
        <v>22</v>
      </c>
      <c r="I280">
        <v>102</v>
      </c>
      <c r="J280">
        <v>103</v>
      </c>
      <c r="K280">
        <v>1</v>
      </c>
    </row>
    <row r="281" spans="1:11" x14ac:dyDescent="0.15">
      <c r="A281" t="s">
        <v>184</v>
      </c>
      <c r="B281" t="s">
        <v>515</v>
      </c>
      <c r="C281" t="s">
        <v>716</v>
      </c>
      <c r="D281" t="s">
        <v>721</v>
      </c>
      <c r="E281" t="s">
        <v>722</v>
      </c>
      <c r="F281" t="s">
        <v>21</v>
      </c>
      <c r="G281" t="s">
        <v>21</v>
      </c>
      <c r="H281" t="s">
        <v>22</v>
      </c>
      <c r="I281">
        <v>33</v>
      </c>
      <c r="J281">
        <v>36</v>
      </c>
      <c r="K281">
        <v>3</v>
      </c>
    </row>
    <row r="282" spans="1:11" x14ac:dyDescent="0.15">
      <c r="A282" t="s">
        <v>184</v>
      </c>
      <c r="B282" t="s">
        <v>515</v>
      </c>
      <c r="C282" t="s">
        <v>716</v>
      </c>
      <c r="D282" t="s">
        <v>723</v>
      </c>
      <c r="E282" t="s">
        <v>724</v>
      </c>
      <c r="F282" t="s">
        <v>21</v>
      </c>
      <c r="G282" t="s">
        <v>21</v>
      </c>
      <c r="H282" t="s">
        <v>22</v>
      </c>
      <c r="I282">
        <v>6</v>
      </c>
      <c r="J282">
        <v>6</v>
      </c>
      <c r="K282">
        <v>0</v>
      </c>
    </row>
    <row r="283" spans="1:11" x14ac:dyDescent="0.15">
      <c r="A283" t="s">
        <v>184</v>
      </c>
      <c r="B283" t="s">
        <v>515</v>
      </c>
      <c r="C283" t="s">
        <v>716</v>
      </c>
      <c r="D283" t="s">
        <v>725</v>
      </c>
      <c r="E283" t="s">
        <v>726</v>
      </c>
      <c r="F283" t="s">
        <v>21</v>
      </c>
      <c r="G283" t="s">
        <v>21</v>
      </c>
      <c r="H283" t="s">
        <v>22</v>
      </c>
      <c r="I283">
        <v>2</v>
      </c>
      <c r="J283">
        <v>2</v>
      </c>
      <c r="K283">
        <v>0</v>
      </c>
    </row>
    <row r="284" spans="1:11" x14ac:dyDescent="0.15">
      <c r="A284" t="s">
        <v>184</v>
      </c>
      <c r="B284" t="s">
        <v>515</v>
      </c>
      <c r="C284" t="s">
        <v>716</v>
      </c>
      <c r="D284" t="s">
        <v>727</v>
      </c>
      <c r="E284" t="s">
        <v>728</v>
      </c>
      <c r="F284" t="s">
        <v>21</v>
      </c>
      <c r="G284" t="s">
        <v>21</v>
      </c>
      <c r="H284" t="s">
        <v>22</v>
      </c>
      <c r="I284">
        <v>51</v>
      </c>
      <c r="J284">
        <v>53</v>
      </c>
      <c r="K284">
        <v>2</v>
      </c>
    </row>
    <row r="285" spans="1:11" x14ac:dyDescent="0.15">
      <c r="A285" t="s">
        <v>184</v>
      </c>
      <c r="B285" t="s">
        <v>515</v>
      </c>
      <c r="C285" t="s">
        <v>716</v>
      </c>
      <c r="D285" t="s">
        <v>729</v>
      </c>
      <c r="E285" t="s">
        <v>730</v>
      </c>
      <c r="F285" t="s">
        <v>21</v>
      </c>
      <c r="G285" t="s">
        <v>21</v>
      </c>
      <c r="H285" t="s">
        <v>22</v>
      </c>
      <c r="I285">
        <v>104</v>
      </c>
      <c r="J285">
        <v>107</v>
      </c>
      <c r="K285">
        <v>3</v>
      </c>
    </row>
    <row r="286" spans="1:11" x14ac:dyDescent="0.15">
      <c r="A286" t="s">
        <v>184</v>
      </c>
      <c r="B286" t="s">
        <v>515</v>
      </c>
      <c r="C286" t="s">
        <v>716</v>
      </c>
      <c r="D286" t="s">
        <v>731</v>
      </c>
      <c r="E286" t="s">
        <v>732</v>
      </c>
      <c r="F286" t="s">
        <v>21</v>
      </c>
      <c r="G286" t="s">
        <v>21</v>
      </c>
      <c r="H286" t="s">
        <v>22</v>
      </c>
      <c r="I286">
        <v>3</v>
      </c>
      <c r="J286">
        <v>3</v>
      </c>
      <c r="K286">
        <v>0</v>
      </c>
    </row>
    <row r="287" spans="1:11" x14ac:dyDescent="0.15">
      <c r="A287" t="s">
        <v>184</v>
      </c>
      <c r="B287" t="s">
        <v>515</v>
      </c>
      <c r="C287" t="s">
        <v>716</v>
      </c>
      <c r="D287" t="s">
        <v>733</v>
      </c>
      <c r="E287" t="s">
        <v>734</v>
      </c>
      <c r="F287" t="s">
        <v>21</v>
      </c>
      <c r="G287" t="s">
        <v>21</v>
      </c>
      <c r="H287" t="s">
        <v>22</v>
      </c>
      <c r="I287">
        <v>52</v>
      </c>
      <c r="J287">
        <v>53</v>
      </c>
      <c r="K287">
        <v>1</v>
      </c>
    </row>
    <row r="288" spans="1:11" x14ac:dyDescent="0.15">
      <c r="A288" t="s">
        <v>184</v>
      </c>
      <c r="B288" t="s">
        <v>515</v>
      </c>
      <c r="C288" t="s">
        <v>716</v>
      </c>
      <c r="D288" t="s">
        <v>735</v>
      </c>
      <c r="E288" t="s">
        <v>736</v>
      </c>
      <c r="F288" t="s">
        <v>21</v>
      </c>
      <c r="G288" t="s">
        <v>21</v>
      </c>
      <c r="H288" t="s">
        <v>22</v>
      </c>
      <c r="I288">
        <v>18</v>
      </c>
      <c r="J288">
        <v>19</v>
      </c>
      <c r="K288">
        <v>1</v>
      </c>
    </row>
    <row r="289" spans="1:11" x14ac:dyDescent="0.15">
      <c r="A289" t="s">
        <v>184</v>
      </c>
      <c r="B289" t="s">
        <v>515</v>
      </c>
      <c r="C289" t="s">
        <v>716</v>
      </c>
      <c r="D289" t="s">
        <v>737</v>
      </c>
      <c r="E289" t="s">
        <v>738</v>
      </c>
      <c r="F289" t="s">
        <v>21</v>
      </c>
      <c r="G289" t="s">
        <v>21</v>
      </c>
      <c r="H289" t="s">
        <v>22</v>
      </c>
      <c r="I289">
        <v>13</v>
      </c>
      <c r="J289">
        <v>15</v>
      </c>
      <c r="K289">
        <v>2</v>
      </c>
    </row>
    <row r="290" spans="1:11" x14ac:dyDescent="0.15">
      <c r="A290" t="s">
        <v>184</v>
      </c>
      <c r="B290" t="s">
        <v>432</v>
      </c>
      <c r="C290" t="s">
        <v>716</v>
      </c>
      <c r="D290" t="s">
        <v>739</v>
      </c>
      <c r="E290" t="s">
        <v>740</v>
      </c>
      <c r="F290" t="s">
        <v>21</v>
      </c>
      <c r="G290" t="s">
        <v>21</v>
      </c>
      <c r="H290" t="s">
        <v>22</v>
      </c>
      <c r="I290">
        <v>1</v>
      </c>
      <c r="J290">
        <v>1</v>
      </c>
      <c r="K290">
        <v>0</v>
      </c>
    </row>
    <row r="291" spans="1:11" x14ac:dyDescent="0.15">
      <c r="A291" t="s">
        <v>184</v>
      </c>
      <c r="B291" t="s">
        <v>432</v>
      </c>
      <c r="C291" t="s">
        <v>716</v>
      </c>
      <c r="D291" t="s">
        <v>741</v>
      </c>
      <c r="E291" t="s">
        <v>742</v>
      </c>
      <c r="F291" t="s">
        <v>21</v>
      </c>
      <c r="G291" t="s">
        <v>21</v>
      </c>
      <c r="H291" t="s">
        <v>22</v>
      </c>
      <c r="I291">
        <v>1</v>
      </c>
      <c r="J291">
        <v>1</v>
      </c>
      <c r="K291">
        <v>0</v>
      </c>
    </row>
    <row r="292" spans="1:11" x14ac:dyDescent="0.15">
      <c r="A292" t="s">
        <v>184</v>
      </c>
      <c r="B292" t="s">
        <v>743</v>
      </c>
      <c r="C292" t="s">
        <v>716</v>
      </c>
      <c r="D292" t="s">
        <v>744</v>
      </c>
      <c r="E292" t="s">
        <v>745</v>
      </c>
      <c r="F292" t="s">
        <v>21</v>
      </c>
      <c r="G292" t="s">
        <v>21</v>
      </c>
      <c r="H292" t="s">
        <v>22</v>
      </c>
      <c r="I292">
        <v>20</v>
      </c>
      <c r="J292">
        <v>24</v>
      </c>
      <c r="K292">
        <v>4</v>
      </c>
    </row>
    <row r="293" spans="1:11" x14ac:dyDescent="0.15">
      <c r="A293" t="s">
        <v>184</v>
      </c>
      <c r="B293" t="s">
        <v>743</v>
      </c>
      <c r="C293" t="s">
        <v>716</v>
      </c>
      <c r="D293" t="s">
        <v>746</v>
      </c>
      <c r="E293" t="s">
        <v>747</v>
      </c>
      <c r="F293" t="s">
        <v>21</v>
      </c>
      <c r="G293" t="s">
        <v>21</v>
      </c>
      <c r="H293" t="s">
        <v>22</v>
      </c>
      <c r="I293">
        <v>32</v>
      </c>
      <c r="J293">
        <v>38</v>
      </c>
      <c r="K293">
        <v>6</v>
      </c>
    </row>
    <row r="294" spans="1:11" x14ac:dyDescent="0.15">
      <c r="A294" t="s">
        <v>15</v>
      </c>
      <c r="B294" t="s">
        <v>566</v>
      </c>
      <c r="C294" t="s">
        <v>716</v>
      </c>
      <c r="D294" t="s">
        <v>748</v>
      </c>
      <c r="E294" t="s">
        <v>749</v>
      </c>
      <c r="F294" t="s">
        <v>21</v>
      </c>
      <c r="G294" t="s">
        <v>21</v>
      </c>
      <c r="H294" t="s">
        <v>22</v>
      </c>
      <c r="I294">
        <v>16</v>
      </c>
      <c r="J294">
        <v>47</v>
      </c>
      <c r="K294">
        <v>31</v>
      </c>
    </row>
    <row r="295" spans="1:11" x14ac:dyDescent="0.15">
      <c r="A295" t="s">
        <v>15</v>
      </c>
      <c r="B295" t="s">
        <v>566</v>
      </c>
      <c r="C295" t="s">
        <v>750</v>
      </c>
      <c r="D295" t="s">
        <v>751</v>
      </c>
      <c r="E295" t="s">
        <v>752</v>
      </c>
      <c r="F295" t="s">
        <v>21</v>
      </c>
      <c r="G295" t="s">
        <v>21</v>
      </c>
      <c r="H295" t="s">
        <v>22</v>
      </c>
      <c r="I295">
        <v>1</v>
      </c>
      <c r="J295">
        <v>1</v>
      </c>
      <c r="K295">
        <v>0</v>
      </c>
    </row>
    <row r="296" spans="1:11" x14ac:dyDescent="0.15">
      <c r="A296" t="s">
        <v>15</v>
      </c>
      <c r="B296" t="s">
        <v>566</v>
      </c>
      <c r="C296" t="s">
        <v>750</v>
      </c>
      <c r="D296" t="s">
        <v>753</v>
      </c>
      <c r="E296" t="s">
        <v>754</v>
      </c>
      <c r="F296" t="s">
        <v>21</v>
      </c>
      <c r="G296" t="s">
        <v>21</v>
      </c>
      <c r="H296" t="s">
        <v>22</v>
      </c>
      <c r="I296">
        <v>0</v>
      </c>
      <c r="J296">
        <v>26</v>
      </c>
      <c r="K296">
        <v>26</v>
      </c>
    </row>
    <row r="297" spans="1:11" x14ac:dyDescent="0.15">
      <c r="A297" t="s">
        <v>15</v>
      </c>
      <c r="B297" t="s">
        <v>566</v>
      </c>
      <c r="C297" t="s">
        <v>716</v>
      </c>
      <c r="D297" t="s">
        <v>755</v>
      </c>
      <c r="E297" t="s">
        <v>756</v>
      </c>
      <c r="F297" t="s">
        <v>21</v>
      </c>
      <c r="G297" t="s">
        <v>21</v>
      </c>
      <c r="H297" t="s">
        <v>22</v>
      </c>
      <c r="I297">
        <v>11</v>
      </c>
      <c r="J297">
        <v>39</v>
      </c>
      <c r="K297">
        <v>28</v>
      </c>
    </row>
    <row r="298" spans="1:11" x14ac:dyDescent="0.15">
      <c r="A298" t="s">
        <v>15</v>
      </c>
      <c r="B298" t="s">
        <v>566</v>
      </c>
      <c r="C298" t="s">
        <v>716</v>
      </c>
      <c r="D298" t="s">
        <v>757</v>
      </c>
      <c r="E298" t="s">
        <v>758</v>
      </c>
      <c r="F298" t="s">
        <v>21</v>
      </c>
      <c r="G298" t="s">
        <v>21</v>
      </c>
      <c r="H298" t="s">
        <v>22</v>
      </c>
      <c r="I298">
        <v>16</v>
      </c>
      <c r="J298">
        <v>48</v>
      </c>
      <c r="K298">
        <v>32</v>
      </c>
    </row>
    <row r="299" spans="1:11" x14ac:dyDescent="0.15">
      <c r="A299" t="s">
        <v>15</v>
      </c>
      <c r="B299" t="s">
        <v>566</v>
      </c>
      <c r="C299" t="s">
        <v>716</v>
      </c>
      <c r="D299" t="s">
        <v>759</v>
      </c>
      <c r="E299" t="s">
        <v>760</v>
      </c>
      <c r="F299" t="s">
        <v>21</v>
      </c>
      <c r="G299" t="s">
        <v>21</v>
      </c>
      <c r="H299" t="s">
        <v>22</v>
      </c>
      <c r="I299">
        <v>19</v>
      </c>
      <c r="J299">
        <v>48</v>
      </c>
      <c r="K299">
        <v>29</v>
      </c>
    </row>
    <row r="300" spans="1:11" x14ac:dyDescent="0.15">
      <c r="A300" t="s">
        <v>15</v>
      </c>
      <c r="B300" t="s">
        <v>566</v>
      </c>
      <c r="C300" t="s">
        <v>750</v>
      </c>
      <c r="D300" t="s">
        <v>761</v>
      </c>
      <c r="E300" t="s">
        <v>762</v>
      </c>
      <c r="F300" t="s">
        <v>21</v>
      </c>
      <c r="G300" t="s">
        <v>21</v>
      </c>
      <c r="H300" t="s">
        <v>22</v>
      </c>
      <c r="I300">
        <v>30</v>
      </c>
      <c r="J300">
        <v>52</v>
      </c>
      <c r="K300">
        <v>22</v>
      </c>
    </row>
    <row r="301" spans="1:11" x14ac:dyDescent="0.15">
      <c r="A301" t="s">
        <v>184</v>
      </c>
      <c r="B301" t="s">
        <v>763</v>
      </c>
      <c r="C301" t="s">
        <v>716</v>
      </c>
      <c r="D301" t="s">
        <v>764</v>
      </c>
      <c r="E301" t="s">
        <v>765</v>
      </c>
      <c r="F301" t="s">
        <v>21</v>
      </c>
      <c r="G301" t="s">
        <v>21</v>
      </c>
      <c r="H301" t="s">
        <v>22</v>
      </c>
      <c r="I301">
        <v>5</v>
      </c>
      <c r="J301">
        <v>5</v>
      </c>
      <c r="K301">
        <v>0</v>
      </c>
    </row>
    <row r="302" spans="1:11" x14ac:dyDescent="0.15">
      <c r="A302" t="s">
        <v>184</v>
      </c>
      <c r="B302" t="s">
        <v>763</v>
      </c>
      <c r="C302" t="s">
        <v>716</v>
      </c>
      <c r="D302" t="s">
        <v>766</v>
      </c>
      <c r="E302" t="s">
        <v>767</v>
      </c>
      <c r="F302" t="s">
        <v>21</v>
      </c>
      <c r="G302" t="s">
        <v>21</v>
      </c>
      <c r="H302" t="s">
        <v>22</v>
      </c>
      <c r="I302">
        <v>7</v>
      </c>
      <c r="J302">
        <v>7</v>
      </c>
      <c r="K302">
        <v>0</v>
      </c>
    </row>
    <row r="303" spans="1:11" x14ac:dyDescent="0.15">
      <c r="A303" t="s">
        <v>184</v>
      </c>
      <c r="B303" t="s">
        <v>763</v>
      </c>
      <c r="C303" t="s">
        <v>716</v>
      </c>
      <c r="D303" t="s">
        <v>768</v>
      </c>
      <c r="E303" t="s">
        <v>769</v>
      </c>
      <c r="F303" t="s">
        <v>21</v>
      </c>
      <c r="G303" t="s">
        <v>21</v>
      </c>
      <c r="H303" t="s">
        <v>22</v>
      </c>
      <c r="I303">
        <v>5</v>
      </c>
      <c r="J303">
        <v>5</v>
      </c>
      <c r="K303">
        <v>0</v>
      </c>
    </row>
    <row r="304" spans="1:11" x14ac:dyDescent="0.15">
      <c r="A304" t="s">
        <v>184</v>
      </c>
      <c r="B304" t="s">
        <v>763</v>
      </c>
      <c r="C304" t="s">
        <v>716</v>
      </c>
      <c r="D304" t="s">
        <v>770</v>
      </c>
      <c r="E304" t="s">
        <v>771</v>
      </c>
      <c r="F304" t="s">
        <v>21</v>
      </c>
      <c r="G304" t="s">
        <v>21</v>
      </c>
      <c r="H304" t="s">
        <v>22</v>
      </c>
      <c r="I304">
        <v>3</v>
      </c>
      <c r="J304">
        <v>3</v>
      </c>
      <c r="K304">
        <v>0</v>
      </c>
    </row>
    <row r="305" spans="1:11" x14ac:dyDescent="0.15">
      <c r="A305" t="s">
        <v>184</v>
      </c>
      <c r="B305" t="s">
        <v>763</v>
      </c>
      <c r="C305" t="s">
        <v>716</v>
      </c>
      <c r="D305" t="s">
        <v>772</v>
      </c>
      <c r="E305" t="s">
        <v>773</v>
      </c>
      <c r="F305" t="s">
        <v>21</v>
      </c>
      <c r="G305" t="s">
        <v>21</v>
      </c>
      <c r="H305" t="s">
        <v>22</v>
      </c>
      <c r="I305">
        <v>6</v>
      </c>
      <c r="J305">
        <v>6</v>
      </c>
      <c r="K305">
        <v>0</v>
      </c>
    </row>
    <row r="306" spans="1:11" x14ac:dyDescent="0.15">
      <c r="A306" t="s">
        <v>184</v>
      </c>
      <c r="B306" t="s">
        <v>432</v>
      </c>
      <c r="C306" t="s">
        <v>716</v>
      </c>
      <c r="D306" t="s">
        <v>774</v>
      </c>
      <c r="E306" t="s">
        <v>775</v>
      </c>
      <c r="F306" t="s">
        <v>21</v>
      </c>
      <c r="G306" t="s">
        <v>21</v>
      </c>
      <c r="H306" t="s">
        <v>22</v>
      </c>
      <c r="I306">
        <v>10</v>
      </c>
      <c r="J306">
        <v>10</v>
      </c>
      <c r="K306">
        <v>0</v>
      </c>
    </row>
    <row r="307" spans="1:11" x14ac:dyDescent="0.15">
      <c r="A307" t="s">
        <v>184</v>
      </c>
      <c r="B307" t="s">
        <v>432</v>
      </c>
      <c r="C307" t="s">
        <v>716</v>
      </c>
      <c r="D307" t="s">
        <v>776</v>
      </c>
      <c r="E307" t="s">
        <v>777</v>
      </c>
      <c r="F307" t="s">
        <v>21</v>
      </c>
      <c r="G307" t="s">
        <v>21</v>
      </c>
      <c r="H307" t="s">
        <v>22</v>
      </c>
      <c r="I307">
        <v>4</v>
      </c>
      <c r="J307">
        <v>4</v>
      </c>
      <c r="K307">
        <v>0</v>
      </c>
    </row>
    <row r="308" spans="1:11" x14ac:dyDescent="0.15">
      <c r="A308" t="s">
        <v>184</v>
      </c>
      <c r="B308" t="s">
        <v>743</v>
      </c>
      <c r="C308" t="s">
        <v>778</v>
      </c>
      <c r="D308" t="s">
        <v>779</v>
      </c>
      <c r="E308" t="s">
        <v>780</v>
      </c>
      <c r="F308" t="s">
        <v>21</v>
      </c>
      <c r="G308" t="s">
        <v>21</v>
      </c>
      <c r="H308" t="s">
        <v>22</v>
      </c>
      <c r="I308">
        <v>5</v>
      </c>
      <c r="J308">
        <v>5</v>
      </c>
      <c r="K308">
        <v>0</v>
      </c>
    </row>
    <row r="309" spans="1:11" x14ac:dyDescent="0.15">
      <c r="A309" t="s">
        <v>184</v>
      </c>
      <c r="B309" t="s">
        <v>743</v>
      </c>
      <c r="C309" t="s">
        <v>778</v>
      </c>
      <c r="D309" t="s">
        <v>781</v>
      </c>
      <c r="E309" t="s">
        <v>782</v>
      </c>
      <c r="F309" t="s">
        <v>21</v>
      </c>
      <c r="G309" t="s">
        <v>21</v>
      </c>
      <c r="H309" t="s">
        <v>22</v>
      </c>
      <c r="I309">
        <v>3</v>
      </c>
      <c r="J309">
        <v>3</v>
      </c>
      <c r="K309">
        <v>0</v>
      </c>
    </row>
    <row r="310" spans="1:11" x14ac:dyDescent="0.15">
      <c r="A310" t="s">
        <v>184</v>
      </c>
      <c r="B310" t="s">
        <v>743</v>
      </c>
      <c r="C310" t="s">
        <v>778</v>
      </c>
      <c r="D310" t="s">
        <v>783</v>
      </c>
      <c r="E310" t="s">
        <v>784</v>
      </c>
      <c r="F310" t="s">
        <v>21</v>
      </c>
      <c r="G310" t="s">
        <v>21</v>
      </c>
      <c r="H310" t="s">
        <v>22</v>
      </c>
      <c r="I310">
        <v>30</v>
      </c>
      <c r="J310">
        <v>30</v>
      </c>
      <c r="K310">
        <v>0</v>
      </c>
    </row>
    <row r="311" spans="1:11" x14ac:dyDescent="0.15">
      <c r="A311" t="s">
        <v>184</v>
      </c>
      <c r="B311" t="s">
        <v>743</v>
      </c>
      <c r="C311" t="s">
        <v>778</v>
      </c>
      <c r="D311" t="s">
        <v>785</v>
      </c>
      <c r="E311" t="s">
        <v>786</v>
      </c>
      <c r="F311" t="s">
        <v>21</v>
      </c>
      <c r="G311" t="s">
        <v>21</v>
      </c>
      <c r="H311" t="s">
        <v>22</v>
      </c>
      <c r="I311">
        <v>26</v>
      </c>
      <c r="J311">
        <v>26</v>
      </c>
      <c r="K311">
        <v>0</v>
      </c>
    </row>
    <row r="312" spans="1:11" x14ac:dyDescent="0.15">
      <c r="A312" t="s">
        <v>184</v>
      </c>
      <c r="B312" t="s">
        <v>743</v>
      </c>
      <c r="C312" t="s">
        <v>778</v>
      </c>
      <c r="D312" t="s">
        <v>787</v>
      </c>
      <c r="E312" t="s">
        <v>780</v>
      </c>
      <c r="F312" t="s">
        <v>21</v>
      </c>
      <c r="G312" t="s">
        <v>21</v>
      </c>
      <c r="H312" t="s">
        <v>22</v>
      </c>
      <c r="I312">
        <v>1</v>
      </c>
      <c r="J312">
        <v>1</v>
      </c>
      <c r="K312">
        <v>0</v>
      </c>
    </row>
    <row r="313" spans="1:11" x14ac:dyDescent="0.15">
      <c r="A313" t="s">
        <v>15</v>
      </c>
      <c r="B313" t="s">
        <v>443</v>
      </c>
      <c r="C313" t="s">
        <v>788</v>
      </c>
      <c r="D313" t="s">
        <v>789</v>
      </c>
      <c r="E313" t="s">
        <v>790</v>
      </c>
      <c r="F313" t="s">
        <v>21</v>
      </c>
      <c r="G313" t="s">
        <v>21</v>
      </c>
      <c r="H313" t="s">
        <v>22</v>
      </c>
      <c r="I313">
        <v>6</v>
      </c>
      <c r="J313">
        <v>6</v>
      </c>
      <c r="K313">
        <v>0</v>
      </c>
    </row>
    <row r="314" spans="1:11" x14ac:dyDescent="0.15">
      <c r="A314" t="s">
        <v>184</v>
      </c>
      <c r="B314" t="s">
        <v>185</v>
      </c>
      <c r="C314" t="s">
        <v>791</v>
      </c>
      <c r="D314" t="s">
        <v>792</v>
      </c>
      <c r="E314" t="s">
        <v>793</v>
      </c>
      <c r="F314" t="s">
        <v>21</v>
      </c>
      <c r="G314" t="s">
        <v>21</v>
      </c>
      <c r="H314" t="s">
        <v>22</v>
      </c>
      <c r="I314">
        <v>1</v>
      </c>
      <c r="J314">
        <v>1</v>
      </c>
      <c r="K314">
        <v>0</v>
      </c>
    </row>
    <row r="315" spans="1:11" x14ac:dyDescent="0.15">
      <c r="A315" t="s">
        <v>184</v>
      </c>
      <c r="B315" t="s">
        <v>185</v>
      </c>
      <c r="C315" t="s">
        <v>791</v>
      </c>
      <c r="D315" t="s">
        <v>794</v>
      </c>
      <c r="E315" t="s">
        <v>795</v>
      </c>
      <c r="F315" t="s">
        <v>21</v>
      </c>
      <c r="G315" t="s">
        <v>21</v>
      </c>
      <c r="H315" t="s">
        <v>22</v>
      </c>
      <c r="I315">
        <v>25</v>
      </c>
      <c r="J315">
        <v>25</v>
      </c>
      <c r="K315">
        <v>0</v>
      </c>
    </row>
    <row r="316" spans="1:11" x14ac:dyDescent="0.15">
      <c r="A316" t="s">
        <v>184</v>
      </c>
      <c r="B316" t="s">
        <v>185</v>
      </c>
      <c r="C316" t="s">
        <v>791</v>
      </c>
      <c r="D316" t="s">
        <v>796</v>
      </c>
      <c r="E316" t="s">
        <v>797</v>
      </c>
      <c r="F316" t="s">
        <v>21</v>
      </c>
      <c r="G316" t="s">
        <v>21</v>
      </c>
      <c r="H316" t="s">
        <v>22</v>
      </c>
      <c r="I316">
        <v>20</v>
      </c>
      <c r="J316">
        <v>21</v>
      </c>
      <c r="K316">
        <v>1</v>
      </c>
    </row>
    <row r="317" spans="1:11" x14ac:dyDescent="0.15">
      <c r="A317" t="s">
        <v>184</v>
      </c>
      <c r="B317" t="s">
        <v>185</v>
      </c>
      <c r="C317" t="s">
        <v>791</v>
      </c>
      <c r="D317" t="s">
        <v>798</v>
      </c>
      <c r="E317" t="s">
        <v>799</v>
      </c>
      <c r="F317" t="s">
        <v>21</v>
      </c>
      <c r="G317" t="s">
        <v>21</v>
      </c>
      <c r="H317" t="s">
        <v>22</v>
      </c>
      <c r="I317">
        <v>27</v>
      </c>
      <c r="J317">
        <v>28</v>
      </c>
      <c r="K317">
        <v>1</v>
      </c>
    </row>
    <row r="318" spans="1:11" x14ac:dyDescent="0.15">
      <c r="A318" t="s">
        <v>184</v>
      </c>
      <c r="B318" t="s">
        <v>185</v>
      </c>
      <c r="C318" t="s">
        <v>791</v>
      </c>
      <c r="D318" t="s">
        <v>800</v>
      </c>
      <c r="E318" t="s">
        <v>801</v>
      </c>
      <c r="F318" t="s">
        <v>21</v>
      </c>
      <c r="G318" t="s">
        <v>21</v>
      </c>
      <c r="H318" t="s">
        <v>22</v>
      </c>
      <c r="I318">
        <v>5</v>
      </c>
      <c r="J318">
        <v>5</v>
      </c>
      <c r="K318">
        <v>0</v>
      </c>
    </row>
    <row r="319" spans="1:11" x14ac:dyDescent="0.15">
      <c r="A319" t="s">
        <v>184</v>
      </c>
      <c r="B319" t="s">
        <v>185</v>
      </c>
      <c r="C319" t="s">
        <v>791</v>
      </c>
      <c r="D319" t="s">
        <v>802</v>
      </c>
      <c r="E319" t="s">
        <v>803</v>
      </c>
      <c r="F319" t="s">
        <v>21</v>
      </c>
      <c r="G319" t="s">
        <v>21</v>
      </c>
      <c r="H319" t="s">
        <v>22</v>
      </c>
      <c r="I319">
        <v>0</v>
      </c>
      <c r="J319">
        <v>1</v>
      </c>
      <c r="K319">
        <v>1</v>
      </c>
    </row>
    <row r="320" spans="1:11" x14ac:dyDescent="0.15">
      <c r="A320" t="s">
        <v>184</v>
      </c>
      <c r="B320" t="s">
        <v>185</v>
      </c>
      <c r="C320" t="s">
        <v>791</v>
      </c>
      <c r="D320" t="s">
        <v>804</v>
      </c>
      <c r="E320" t="s">
        <v>805</v>
      </c>
      <c r="F320" t="s">
        <v>21</v>
      </c>
      <c r="G320" t="s">
        <v>21</v>
      </c>
      <c r="H320" t="s">
        <v>22</v>
      </c>
      <c r="I320">
        <v>1</v>
      </c>
      <c r="J320">
        <v>1</v>
      </c>
      <c r="K320">
        <v>0</v>
      </c>
    </row>
    <row r="321" spans="1:11" x14ac:dyDescent="0.15">
      <c r="A321" t="s">
        <v>184</v>
      </c>
      <c r="B321" t="s">
        <v>185</v>
      </c>
      <c r="C321" t="s">
        <v>791</v>
      </c>
      <c r="D321" t="s">
        <v>806</v>
      </c>
      <c r="E321" t="s">
        <v>807</v>
      </c>
      <c r="F321" t="s">
        <v>21</v>
      </c>
      <c r="G321" t="s">
        <v>21</v>
      </c>
      <c r="H321" t="s">
        <v>22</v>
      </c>
      <c r="I321">
        <v>7</v>
      </c>
      <c r="J321">
        <v>7</v>
      </c>
      <c r="K321">
        <v>0</v>
      </c>
    </row>
    <row r="322" spans="1:11" x14ac:dyDescent="0.15">
      <c r="A322" t="s">
        <v>15</v>
      </c>
      <c r="B322" t="s">
        <v>36</v>
      </c>
      <c r="C322" t="s">
        <v>808</v>
      </c>
      <c r="D322" t="s">
        <v>809</v>
      </c>
      <c r="E322" t="s">
        <v>810</v>
      </c>
      <c r="F322" t="s">
        <v>21</v>
      </c>
      <c r="G322" t="s">
        <v>21</v>
      </c>
      <c r="H322" t="s">
        <v>22</v>
      </c>
      <c r="I322">
        <v>8</v>
      </c>
      <c r="J322">
        <v>8</v>
      </c>
      <c r="K322">
        <v>0</v>
      </c>
    </row>
    <row r="323" spans="1:11" x14ac:dyDescent="0.15">
      <c r="A323" t="s">
        <v>15</v>
      </c>
      <c r="B323" t="s">
        <v>36</v>
      </c>
      <c r="C323" t="s">
        <v>440</v>
      </c>
      <c r="D323" t="s">
        <v>811</v>
      </c>
      <c r="E323" t="s">
        <v>812</v>
      </c>
      <c r="F323" t="s">
        <v>21</v>
      </c>
      <c r="G323" t="s">
        <v>21</v>
      </c>
      <c r="H323" t="s">
        <v>22</v>
      </c>
      <c r="I323">
        <v>23</v>
      </c>
      <c r="J323">
        <v>59</v>
      </c>
      <c r="K323">
        <v>36</v>
      </c>
    </row>
    <row r="324" spans="1:11" x14ac:dyDescent="0.15">
      <c r="A324" t="s">
        <v>303</v>
      </c>
      <c r="B324" t="s">
        <v>813</v>
      </c>
      <c r="C324" t="s">
        <v>814</v>
      </c>
      <c r="D324" t="s">
        <v>815</v>
      </c>
      <c r="E324" t="s">
        <v>816</v>
      </c>
      <c r="F324" t="s">
        <v>21</v>
      </c>
      <c r="G324" t="s">
        <v>21</v>
      </c>
      <c r="H324" t="s">
        <v>22</v>
      </c>
      <c r="I324">
        <v>1</v>
      </c>
      <c r="J324">
        <v>4</v>
      </c>
      <c r="K324">
        <v>3</v>
      </c>
    </row>
    <row r="325" spans="1:11" x14ac:dyDescent="0.15">
      <c r="A325" t="s">
        <v>303</v>
      </c>
      <c r="B325" t="s">
        <v>813</v>
      </c>
      <c r="C325" t="s">
        <v>814</v>
      </c>
      <c r="D325" t="s">
        <v>817</v>
      </c>
      <c r="E325" t="s">
        <v>818</v>
      </c>
      <c r="F325" t="s">
        <v>21</v>
      </c>
      <c r="G325" t="s">
        <v>21</v>
      </c>
      <c r="H325" t="s">
        <v>22</v>
      </c>
      <c r="I325">
        <v>15</v>
      </c>
      <c r="J325">
        <v>22</v>
      </c>
      <c r="K325">
        <v>7</v>
      </c>
    </row>
    <row r="326" spans="1:11" x14ac:dyDescent="0.15">
      <c r="A326" t="s">
        <v>303</v>
      </c>
      <c r="B326" t="s">
        <v>813</v>
      </c>
      <c r="C326" t="s">
        <v>814</v>
      </c>
      <c r="D326" t="s">
        <v>819</v>
      </c>
      <c r="E326" t="s">
        <v>820</v>
      </c>
      <c r="F326" t="s">
        <v>21</v>
      </c>
      <c r="G326" t="s">
        <v>21</v>
      </c>
      <c r="H326" t="s">
        <v>22</v>
      </c>
      <c r="I326">
        <v>6</v>
      </c>
      <c r="J326">
        <v>12</v>
      </c>
      <c r="K326">
        <v>6</v>
      </c>
    </row>
    <row r="327" spans="1:11" x14ac:dyDescent="0.15">
      <c r="A327" t="s">
        <v>15</v>
      </c>
      <c r="B327" t="s">
        <v>360</v>
      </c>
      <c r="C327" t="s">
        <v>821</v>
      </c>
      <c r="D327" t="s">
        <v>822</v>
      </c>
      <c r="E327" t="s">
        <v>823</v>
      </c>
      <c r="F327" t="s">
        <v>21</v>
      </c>
      <c r="G327" t="s">
        <v>21</v>
      </c>
      <c r="H327" t="s">
        <v>22</v>
      </c>
      <c r="I327">
        <v>10</v>
      </c>
      <c r="J327">
        <v>10</v>
      </c>
      <c r="K327">
        <v>0</v>
      </c>
    </row>
    <row r="328" spans="1:11" x14ac:dyDescent="0.15">
      <c r="A328" t="s">
        <v>15</v>
      </c>
      <c r="B328" t="s">
        <v>546</v>
      </c>
      <c r="C328" t="s">
        <v>824</v>
      </c>
      <c r="D328" t="s">
        <v>825</v>
      </c>
      <c r="E328" t="s">
        <v>826</v>
      </c>
      <c r="F328" t="s">
        <v>21</v>
      </c>
      <c r="G328" t="s">
        <v>21</v>
      </c>
      <c r="H328" t="s">
        <v>22</v>
      </c>
      <c r="I328">
        <v>68</v>
      </c>
      <c r="J328">
        <v>84</v>
      </c>
      <c r="K328">
        <v>16</v>
      </c>
    </row>
    <row r="329" spans="1:11" x14ac:dyDescent="0.15">
      <c r="A329" t="s">
        <v>15</v>
      </c>
      <c r="B329" t="s">
        <v>559</v>
      </c>
      <c r="C329" t="s">
        <v>827</v>
      </c>
      <c r="D329" t="s">
        <v>828</v>
      </c>
      <c r="E329" t="s">
        <v>829</v>
      </c>
      <c r="F329" t="s">
        <v>21</v>
      </c>
      <c r="G329" t="s">
        <v>21</v>
      </c>
      <c r="H329" t="s">
        <v>22</v>
      </c>
      <c r="I329">
        <v>1</v>
      </c>
      <c r="J329">
        <v>1</v>
      </c>
      <c r="K329">
        <v>0</v>
      </c>
    </row>
    <row r="330" spans="1:11" x14ac:dyDescent="0.15">
      <c r="A330" t="s">
        <v>184</v>
      </c>
      <c r="B330" t="s">
        <v>743</v>
      </c>
      <c r="C330" t="s">
        <v>830</v>
      </c>
      <c r="D330" t="s">
        <v>831</v>
      </c>
      <c r="E330" t="s">
        <v>832</v>
      </c>
      <c r="F330" t="s">
        <v>21</v>
      </c>
      <c r="G330" t="s">
        <v>21</v>
      </c>
      <c r="H330" t="s">
        <v>22</v>
      </c>
      <c r="I330">
        <v>5</v>
      </c>
      <c r="J330">
        <v>5</v>
      </c>
      <c r="K330">
        <v>0</v>
      </c>
    </row>
    <row r="331" spans="1:11" x14ac:dyDescent="0.15">
      <c r="A331" t="s">
        <v>184</v>
      </c>
      <c r="B331" t="s">
        <v>432</v>
      </c>
      <c r="C331" t="s">
        <v>830</v>
      </c>
      <c r="D331" t="s">
        <v>833</v>
      </c>
      <c r="E331" t="s">
        <v>834</v>
      </c>
      <c r="F331" t="s">
        <v>21</v>
      </c>
      <c r="G331" t="s">
        <v>21</v>
      </c>
      <c r="H331" t="s">
        <v>22</v>
      </c>
      <c r="I331">
        <v>2</v>
      </c>
      <c r="J331">
        <v>3</v>
      </c>
      <c r="K331">
        <v>1</v>
      </c>
    </row>
    <row r="332" spans="1:11" x14ac:dyDescent="0.15">
      <c r="A332" t="s">
        <v>184</v>
      </c>
      <c r="B332" t="s">
        <v>185</v>
      </c>
      <c r="C332" t="s">
        <v>835</v>
      </c>
      <c r="D332" t="s">
        <v>836</v>
      </c>
      <c r="E332" t="s">
        <v>837</v>
      </c>
      <c r="F332" t="s">
        <v>21</v>
      </c>
      <c r="G332" t="s">
        <v>21</v>
      </c>
      <c r="H332" t="s">
        <v>22</v>
      </c>
      <c r="I332">
        <v>5</v>
      </c>
      <c r="J332">
        <v>5</v>
      </c>
      <c r="K332">
        <v>0</v>
      </c>
    </row>
    <row r="333" spans="1:11" x14ac:dyDescent="0.15">
      <c r="A333" t="s">
        <v>184</v>
      </c>
      <c r="B333" t="s">
        <v>185</v>
      </c>
      <c r="C333" t="s">
        <v>835</v>
      </c>
      <c r="D333" t="s">
        <v>838</v>
      </c>
      <c r="E333" t="s">
        <v>839</v>
      </c>
      <c r="F333" t="s">
        <v>21</v>
      </c>
      <c r="G333" t="s">
        <v>21</v>
      </c>
      <c r="H333" t="s">
        <v>22</v>
      </c>
      <c r="I333">
        <v>4</v>
      </c>
      <c r="J333">
        <v>4</v>
      </c>
      <c r="K333">
        <v>0</v>
      </c>
    </row>
    <row r="334" spans="1:11" x14ac:dyDescent="0.15">
      <c r="A334" t="s">
        <v>184</v>
      </c>
      <c r="B334" t="s">
        <v>185</v>
      </c>
      <c r="C334" t="s">
        <v>791</v>
      </c>
      <c r="D334" t="s">
        <v>840</v>
      </c>
      <c r="E334" t="s">
        <v>841</v>
      </c>
      <c r="F334" t="s">
        <v>21</v>
      </c>
      <c r="G334" t="s">
        <v>21</v>
      </c>
      <c r="H334" t="s">
        <v>22</v>
      </c>
      <c r="I334">
        <v>4</v>
      </c>
      <c r="J334">
        <v>4</v>
      </c>
      <c r="K334">
        <v>0</v>
      </c>
    </row>
    <row r="335" spans="1:11" x14ac:dyDescent="0.15">
      <c r="A335" t="s">
        <v>15</v>
      </c>
      <c r="B335" t="s">
        <v>566</v>
      </c>
      <c r="C335" t="s">
        <v>830</v>
      </c>
      <c r="D335" t="s">
        <v>842</v>
      </c>
      <c r="E335" t="s">
        <v>843</v>
      </c>
      <c r="F335" t="s">
        <v>21</v>
      </c>
      <c r="G335" t="s">
        <v>21</v>
      </c>
      <c r="H335" t="s">
        <v>22</v>
      </c>
      <c r="I335">
        <v>33</v>
      </c>
      <c r="J335">
        <v>59</v>
      </c>
      <c r="K335">
        <v>26</v>
      </c>
    </row>
    <row r="336" spans="1:11" x14ac:dyDescent="0.15">
      <c r="A336" t="s">
        <v>184</v>
      </c>
      <c r="B336" t="s">
        <v>185</v>
      </c>
      <c r="C336" t="s">
        <v>791</v>
      </c>
      <c r="D336" t="s">
        <v>844</v>
      </c>
      <c r="E336" t="s">
        <v>845</v>
      </c>
      <c r="F336" t="s">
        <v>21</v>
      </c>
      <c r="G336" t="s">
        <v>21</v>
      </c>
      <c r="H336" t="s">
        <v>22</v>
      </c>
      <c r="I336">
        <v>25</v>
      </c>
      <c r="J336">
        <v>25</v>
      </c>
      <c r="K336">
        <v>0</v>
      </c>
    </row>
    <row r="337" spans="1:11" x14ac:dyDescent="0.15">
      <c r="A337" t="s">
        <v>184</v>
      </c>
      <c r="B337" t="s">
        <v>185</v>
      </c>
      <c r="C337" t="s">
        <v>791</v>
      </c>
      <c r="D337" t="s">
        <v>846</v>
      </c>
      <c r="E337" t="s">
        <v>805</v>
      </c>
      <c r="F337" t="s">
        <v>21</v>
      </c>
      <c r="G337" t="s">
        <v>21</v>
      </c>
      <c r="H337" t="s">
        <v>22</v>
      </c>
      <c r="I337">
        <v>1</v>
      </c>
      <c r="J337">
        <v>1</v>
      </c>
      <c r="K337">
        <v>0</v>
      </c>
    </row>
    <row r="338" spans="1:11" x14ac:dyDescent="0.15">
      <c r="A338" t="s">
        <v>184</v>
      </c>
      <c r="B338" t="s">
        <v>185</v>
      </c>
      <c r="C338" t="s">
        <v>791</v>
      </c>
      <c r="D338" t="s">
        <v>847</v>
      </c>
      <c r="E338" t="s">
        <v>807</v>
      </c>
      <c r="F338" t="s">
        <v>21</v>
      </c>
      <c r="G338" t="s">
        <v>21</v>
      </c>
      <c r="H338" t="s">
        <v>22</v>
      </c>
      <c r="I338">
        <v>7</v>
      </c>
      <c r="J338">
        <v>7</v>
      </c>
      <c r="K338">
        <v>0</v>
      </c>
    </row>
    <row r="339" spans="1:11" x14ac:dyDescent="0.15">
      <c r="A339" t="s">
        <v>184</v>
      </c>
      <c r="B339" t="s">
        <v>185</v>
      </c>
      <c r="C339" t="s">
        <v>791</v>
      </c>
      <c r="D339" t="s">
        <v>848</v>
      </c>
      <c r="E339" t="s">
        <v>849</v>
      </c>
      <c r="F339" t="s">
        <v>21</v>
      </c>
      <c r="G339" t="s">
        <v>21</v>
      </c>
      <c r="H339" t="s">
        <v>22</v>
      </c>
      <c r="I339">
        <v>1</v>
      </c>
      <c r="J339">
        <v>1</v>
      </c>
      <c r="K339">
        <v>0</v>
      </c>
    </row>
    <row r="340" spans="1:11" x14ac:dyDescent="0.15">
      <c r="A340" t="s">
        <v>184</v>
      </c>
      <c r="B340" t="s">
        <v>185</v>
      </c>
      <c r="C340" t="s">
        <v>791</v>
      </c>
      <c r="D340" t="s">
        <v>850</v>
      </c>
      <c r="E340" t="s">
        <v>851</v>
      </c>
      <c r="F340" t="s">
        <v>21</v>
      </c>
      <c r="G340" t="s">
        <v>21</v>
      </c>
      <c r="H340" t="s">
        <v>22</v>
      </c>
      <c r="I340">
        <v>2</v>
      </c>
      <c r="J340">
        <v>2</v>
      </c>
      <c r="K340">
        <v>0</v>
      </c>
    </row>
    <row r="341" spans="1:11" x14ac:dyDescent="0.15">
      <c r="A341" t="s">
        <v>184</v>
      </c>
      <c r="B341" t="s">
        <v>185</v>
      </c>
      <c r="C341" t="s">
        <v>791</v>
      </c>
      <c r="D341" t="s">
        <v>852</v>
      </c>
      <c r="E341" t="s">
        <v>853</v>
      </c>
      <c r="F341" t="s">
        <v>21</v>
      </c>
      <c r="G341" t="s">
        <v>21</v>
      </c>
      <c r="H341" t="s">
        <v>22</v>
      </c>
      <c r="I341">
        <v>12</v>
      </c>
      <c r="J341">
        <v>12</v>
      </c>
      <c r="K341">
        <v>0</v>
      </c>
    </row>
    <row r="342" spans="1:11" x14ac:dyDescent="0.15">
      <c r="A342" t="s">
        <v>184</v>
      </c>
      <c r="B342" t="s">
        <v>185</v>
      </c>
      <c r="C342" t="s">
        <v>791</v>
      </c>
      <c r="D342" t="s">
        <v>854</v>
      </c>
      <c r="E342" t="s">
        <v>853</v>
      </c>
      <c r="F342" t="s">
        <v>21</v>
      </c>
      <c r="G342" t="s">
        <v>21</v>
      </c>
      <c r="H342" t="s">
        <v>22</v>
      </c>
      <c r="I342">
        <v>8</v>
      </c>
      <c r="J342">
        <v>9</v>
      </c>
      <c r="K342">
        <v>1</v>
      </c>
    </row>
    <row r="343" spans="1:11" x14ac:dyDescent="0.15">
      <c r="A343" t="s">
        <v>184</v>
      </c>
      <c r="B343" t="s">
        <v>185</v>
      </c>
      <c r="C343" t="s">
        <v>791</v>
      </c>
      <c r="D343" t="s">
        <v>855</v>
      </c>
      <c r="E343" t="s">
        <v>799</v>
      </c>
      <c r="F343" t="s">
        <v>21</v>
      </c>
      <c r="G343" t="s">
        <v>21</v>
      </c>
      <c r="H343" t="s">
        <v>22</v>
      </c>
      <c r="I343">
        <v>28</v>
      </c>
      <c r="J343">
        <v>29</v>
      </c>
      <c r="K343">
        <v>1</v>
      </c>
    </row>
    <row r="344" spans="1:11" x14ac:dyDescent="0.15">
      <c r="A344" t="s">
        <v>184</v>
      </c>
      <c r="B344" t="s">
        <v>185</v>
      </c>
      <c r="C344" t="s">
        <v>791</v>
      </c>
      <c r="D344" t="s">
        <v>856</v>
      </c>
      <c r="E344" t="s">
        <v>857</v>
      </c>
      <c r="F344" t="s">
        <v>21</v>
      </c>
      <c r="G344" t="s">
        <v>21</v>
      </c>
      <c r="H344" t="s">
        <v>22</v>
      </c>
      <c r="I344">
        <v>1</v>
      </c>
      <c r="J344">
        <v>1</v>
      </c>
      <c r="K344">
        <v>0</v>
      </c>
    </row>
    <row r="345" spans="1:11" x14ac:dyDescent="0.15">
      <c r="A345" t="s">
        <v>184</v>
      </c>
      <c r="B345" t="s">
        <v>185</v>
      </c>
      <c r="C345" t="s">
        <v>791</v>
      </c>
      <c r="D345" t="s">
        <v>858</v>
      </c>
      <c r="E345" t="s">
        <v>859</v>
      </c>
      <c r="F345" t="s">
        <v>21</v>
      </c>
      <c r="G345" t="s">
        <v>21</v>
      </c>
      <c r="H345" t="s">
        <v>22</v>
      </c>
      <c r="I345">
        <v>0</v>
      </c>
      <c r="J345">
        <v>2</v>
      </c>
      <c r="K345">
        <v>2</v>
      </c>
    </row>
    <row r="346" spans="1:11" x14ac:dyDescent="0.15">
      <c r="A346" t="s">
        <v>15</v>
      </c>
      <c r="B346" t="s">
        <v>36</v>
      </c>
      <c r="C346" t="s">
        <v>860</v>
      </c>
      <c r="D346" t="s">
        <v>861</v>
      </c>
      <c r="E346" t="s">
        <v>862</v>
      </c>
      <c r="F346" t="s">
        <v>21</v>
      </c>
      <c r="G346" t="s">
        <v>21</v>
      </c>
      <c r="H346" t="s">
        <v>22</v>
      </c>
      <c r="I346">
        <v>1</v>
      </c>
      <c r="J346">
        <v>1</v>
      </c>
      <c r="K346">
        <v>0</v>
      </c>
    </row>
    <row r="347" spans="1:11" x14ac:dyDescent="0.15">
      <c r="A347" t="s">
        <v>15</v>
      </c>
      <c r="B347" t="s">
        <v>49</v>
      </c>
      <c r="C347" t="s">
        <v>863</v>
      </c>
      <c r="D347" t="s">
        <v>864</v>
      </c>
      <c r="E347" t="s">
        <v>865</v>
      </c>
      <c r="F347" t="s">
        <v>21</v>
      </c>
      <c r="G347" t="s">
        <v>21</v>
      </c>
      <c r="H347" t="s">
        <v>22</v>
      </c>
      <c r="I347">
        <v>13</v>
      </c>
      <c r="J347">
        <v>23</v>
      </c>
      <c r="K347">
        <v>10</v>
      </c>
    </row>
    <row r="348" spans="1:11" x14ac:dyDescent="0.15">
      <c r="A348" t="s">
        <v>15</v>
      </c>
      <c r="B348" t="s">
        <v>49</v>
      </c>
      <c r="C348" t="s">
        <v>863</v>
      </c>
      <c r="D348" t="s">
        <v>866</v>
      </c>
      <c r="E348" t="s">
        <v>867</v>
      </c>
      <c r="F348" t="s">
        <v>21</v>
      </c>
      <c r="G348" t="s">
        <v>21</v>
      </c>
      <c r="H348" t="s">
        <v>22</v>
      </c>
      <c r="I348">
        <v>3</v>
      </c>
      <c r="J348">
        <v>7</v>
      </c>
      <c r="K348">
        <v>4</v>
      </c>
    </row>
    <row r="349" spans="1:11" x14ac:dyDescent="0.15">
      <c r="A349" t="s">
        <v>15</v>
      </c>
      <c r="B349" t="s">
        <v>49</v>
      </c>
      <c r="C349" t="s">
        <v>863</v>
      </c>
      <c r="D349" t="s">
        <v>868</v>
      </c>
      <c r="E349" t="s">
        <v>869</v>
      </c>
      <c r="F349" t="s">
        <v>21</v>
      </c>
      <c r="G349" t="s">
        <v>21</v>
      </c>
      <c r="H349" t="s">
        <v>22</v>
      </c>
      <c r="I349">
        <v>24</v>
      </c>
      <c r="J349">
        <v>37</v>
      </c>
      <c r="K349">
        <v>13</v>
      </c>
    </row>
    <row r="350" spans="1:11" x14ac:dyDescent="0.15">
      <c r="A350" t="s">
        <v>15</v>
      </c>
      <c r="B350" t="s">
        <v>36</v>
      </c>
      <c r="C350" t="s">
        <v>870</v>
      </c>
      <c r="D350" t="s">
        <v>871</v>
      </c>
      <c r="E350" t="s">
        <v>872</v>
      </c>
      <c r="F350" t="s">
        <v>21</v>
      </c>
      <c r="G350" t="s">
        <v>21</v>
      </c>
      <c r="H350" t="s">
        <v>22</v>
      </c>
      <c r="I350">
        <v>19</v>
      </c>
      <c r="J350">
        <v>19</v>
      </c>
      <c r="K350">
        <v>0</v>
      </c>
    </row>
    <row r="351" spans="1:11" x14ac:dyDescent="0.15">
      <c r="A351" t="s">
        <v>184</v>
      </c>
      <c r="B351" t="s">
        <v>185</v>
      </c>
      <c r="C351" t="s">
        <v>873</v>
      </c>
      <c r="D351" t="s">
        <v>874</v>
      </c>
      <c r="E351" t="s">
        <v>875</v>
      </c>
      <c r="F351" t="s">
        <v>21</v>
      </c>
      <c r="G351" t="s">
        <v>21</v>
      </c>
      <c r="H351" t="s">
        <v>22</v>
      </c>
      <c r="I351">
        <v>1</v>
      </c>
      <c r="J351">
        <v>1</v>
      </c>
      <c r="K351">
        <v>0</v>
      </c>
    </row>
    <row r="352" spans="1:11" x14ac:dyDescent="0.15">
      <c r="A352" t="s">
        <v>184</v>
      </c>
      <c r="B352" t="s">
        <v>185</v>
      </c>
      <c r="C352" t="s">
        <v>873</v>
      </c>
      <c r="D352" t="s">
        <v>876</v>
      </c>
      <c r="E352" t="s">
        <v>877</v>
      </c>
      <c r="F352" t="s">
        <v>21</v>
      </c>
      <c r="G352" t="s">
        <v>21</v>
      </c>
      <c r="H352" t="s">
        <v>22</v>
      </c>
      <c r="I352">
        <v>1</v>
      </c>
      <c r="J352">
        <v>1</v>
      </c>
      <c r="K352">
        <v>0</v>
      </c>
    </row>
    <row r="353" spans="1:11" x14ac:dyDescent="0.15">
      <c r="A353" t="s">
        <v>184</v>
      </c>
      <c r="B353" t="s">
        <v>185</v>
      </c>
      <c r="C353" t="s">
        <v>873</v>
      </c>
      <c r="D353" t="s">
        <v>878</v>
      </c>
      <c r="E353" t="s">
        <v>879</v>
      </c>
      <c r="F353" t="s">
        <v>21</v>
      </c>
      <c r="G353" t="s">
        <v>21</v>
      </c>
      <c r="H353" t="s">
        <v>22</v>
      </c>
      <c r="I353">
        <v>6</v>
      </c>
      <c r="J353">
        <v>6</v>
      </c>
      <c r="K353">
        <v>0</v>
      </c>
    </row>
    <row r="354" spans="1:11" x14ac:dyDescent="0.15">
      <c r="A354" t="s">
        <v>184</v>
      </c>
      <c r="B354" t="s">
        <v>185</v>
      </c>
      <c r="C354" t="s">
        <v>873</v>
      </c>
      <c r="D354" t="s">
        <v>880</v>
      </c>
      <c r="E354" t="s">
        <v>881</v>
      </c>
      <c r="F354" t="s">
        <v>21</v>
      </c>
      <c r="G354" t="s">
        <v>21</v>
      </c>
      <c r="H354" t="s">
        <v>22</v>
      </c>
      <c r="I354">
        <v>7</v>
      </c>
      <c r="J354">
        <v>7</v>
      </c>
      <c r="K354">
        <v>0</v>
      </c>
    </row>
    <row r="355" spans="1:11" x14ac:dyDescent="0.15">
      <c r="A355" t="s">
        <v>184</v>
      </c>
      <c r="B355" t="s">
        <v>185</v>
      </c>
      <c r="C355" t="s">
        <v>873</v>
      </c>
      <c r="D355" t="s">
        <v>882</v>
      </c>
      <c r="E355" t="s">
        <v>883</v>
      </c>
      <c r="F355" t="s">
        <v>21</v>
      </c>
      <c r="G355" t="s">
        <v>21</v>
      </c>
      <c r="H355" t="s">
        <v>22</v>
      </c>
      <c r="I355">
        <v>3</v>
      </c>
      <c r="J355">
        <v>3</v>
      </c>
      <c r="K355">
        <v>0</v>
      </c>
    </row>
    <row r="356" spans="1:11" x14ac:dyDescent="0.15">
      <c r="A356" t="s">
        <v>184</v>
      </c>
      <c r="B356" t="s">
        <v>185</v>
      </c>
      <c r="C356" t="s">
        <v>873</v>
      </c>
      <c r="D356" t="s">
        <v>884</v>
      </c>
      <c r="E356" t="s">
        <v>885</v>
      </c>
      <c r="F356" t="s">
        <v>21</v>
      </c>
      <c r="G356" t="s">
        <v>21</v>
      </c>
      <c r="H356" t="s">
        <v>22</v>
      </c>
      <c r="I356">
        <v>3</v>
      </c>
      <c r="J356">
        <v>3</v>
      </c>
      <c r="K356">
        <v>0</v>
      </c>
    </row>
    <row r="357" spans="1:11" x14ac:dyDescent="0.15">
      <c r="A357" t="s">
        <v>15</v>
      </c>
      <c r="B357" t="s">
        <v>546</v>
      </c>
      <c r="C357" t="s">
        <v>886</v>
      </c>
      <c r="D357" t="s">
        <v>887</v>
      </c>
      <c r="E357" t="s">
        <v>888</v>
      </c>
      <c r="F357" t="s">
        <v>21</v>
      </c>
      <c r="G357" t="s">
        <v>21</v>
      </c>
      <c r="H357" t="s">
        <v>22</v>
      </c>
      <c r="I357">
        <v>1</v>
      </c>
      <c r="J357">
        <v>1</v>
      </c>
      <c r="K357">
        <v>0</v>
      </c>
    </row>
    <row r="358" spans="1:11" x14ac:dyDescent="0.15">
      <c r="A358" t="s">
        <v>15</v>
      </c>
      <c r="B358" t="s">
        <v>49</v>
      </c>
      <c r="C358" t="s">
        <v>863</v>
      </c>
      <c r="D358" t="s">
        <v>889</v>
      </c>
      <c r="E358" t="s">
        <v>890</v>
      </c>
      <c r="F358" t="s">
        <v>21</v>
      </c>
      <c r="G358" t="s">
        <v>21</v>
      </c>
      <c r="H358" t="s">
        <v>22</v>
      </c>
      <c r="I358">
        <v>1</v>
      </c>
      <c r="J358">
        <v>6</v>
      </c>
      <c r="K358">
        <v>5</v>
      </c>
    </row>
    <row r="359" spans="1:11" x14ac:dyDescent="0.15">
      <c r="A359" t="s">
        <v>184</v>
      </c>
      <c r="B359" t="s">
        <v>185</v>
      </c>
      <c r="C359" t="s">
        <v>873</v>
      </c>
      <c r="D359" t="s">
        <v>891</v>
      </c>
      <c r="E359" t="s">
        <v>891</v>
      </c>
      <c r="F359" t="s">
        <v>21</v>
      </c>
      <c r="G359" t="s">
        <v>21</v>
      </c>
      <c r="H359" t="s">
        <v>22</v>
      </c>
      <c r="I359">
        <v>21</v>
      </c>
      <c r="J359">
        <v>21</v>
      </c>
      <c r="K359">
        <v>0</v>
      </c>
    </row>
    <row r="360" spans="1:11" x14ac:dyDescent="0.15">
      <c r="A360" t="s">
        <v>184</v>
      </c>
      <c r="B360" t="s">
        <v>743</v>
      </c>
      <c r="C360" t="s">
        <v>835</v>
      </c>
      <c r="D360" t="s">
        <v>892</v>
      </c>
      <c r="E360" t="s">
        <v>893</v>
      </c>
      <c r="F360" t="s">
        <v>21</v>
      </c>
      <c r="G360" t="s">
        <v>21</v>
      </c>
      <c r="H360" t="s">
        <v>22</v>
      </c>
      <c r="I360">
        <v>4</v>
      </c>
      <c r="J360">
        <v>5</v>
      </c>
      <c r="K360">
        <v>1</v>
      </c>
    </row>
    <row r="361" spans="1:11" x14ac:dyDescent="0.15">
      <c r="A361" t="s">
        <v>184</v>
      </c>
      <c r="B361" t="s">
        <v>743</v>
      </c>
      <c r="C361" t="s">
        <v>835</v>
      </c>
      <c r="D361" t="s">
        <v>894</v>
      </c>
      <c r="E361" t="s">
        <v>895</v>
      </c>
      <c r="F361" t="s">
        <v>21</v>
      </c>
      <c r="G361" t="s">
        <v>21</v>
      </c>
      <c r="H361" t="s">
        <v>22</v>
      </c>
      <c r="I361">
        <v>24</v>
      </c>
      <c r="J361">
        <v>28</v>
      </c>
      <c r="K361">
        <v>4</v>
      </c>
    </row>
    <row r="362" spans="1:11" x14ac:dyDescent="0.15">
      <c r="A362" t="s">
        <v>184</v>
      </c>
      <c r="B362" t="s">
        <v>743</v>
      </c>
      <c r="C362" t="s">
        <v>835</v>
      </c>
      <c r="D362" t="s">
        <v>896</v>
      </c>
      <c r="E362" t="s">
        <v>897</v>
      </c>
      <c r="F362" t="s">
        <v>21</v>
      </c>
      <c r="G362" t="s">
        <v>21</v>
      </c>
      <c r="H362" t="s">
        <v>22</v>
      </c>
      <c r="I362">
        <v>2</v>
      </c>
      <c r="J362">
        <v>2</v>
      </c>
      <c r="K362">
        <v>0</v>
      </c>
    </row>
    <row r="363" spans="1:11" x14ac:dyDescent="0.15">
      <c r="A363" t="s">
        <v>184</v>
      </c>
      <c r="B363" t="s">
        <v>743</v>
      </c>
      <c r="C363" t="s">
        <v>835</v>
      </c>
      <c r="D363" t="s">
        <v>898</v>
      </c>
      <c r="E363" t="s">
        <v>899</v>
      </c>
      <c r="F363" t="s">
        <v>21</v>
      </c>
      <c r="G363" t="s">
        <v>21</v>
      </c>
      <c r="H363" t="s">
        <v>22</v>
      </c>
      <c r="I363">
        <v>4</v>
      </c>
      <c r="J363">
        <v>4</v>
      </c>
      <c r="K363">
        <v>0</v>
      </c>
    </row>
    <row r="364" spans="1:11" x14ac:dyDescent="0.15">
      <c r="A364" t="s">
        <v>184</v>
      </c>
      <c r="B364" t="s">
        <v>185</v>
      </c>
      <c r="C364" t="s">
        <v>586</v>
      </c>
      <c r="D364" t="s">
        <v>900</v>
      </c>
      <c r="E364" t="s">
        <v>901</v>
      </c>
      <c r="F364" t="s">
        <v>21</v>
      </c>
      <c r="G364" t="s">
        <v>21</v>
      </c>
      <c r="H364" t="s">
        <v>22</v>
      </c>
      <c r="I364">
        <v>167</v>
      </c>
      <c r="J364">
        <v>171</v>
      </c>
      <c r="K364">
        <v>4</v>
      </c>
    </row>
    <row r="365" spans="1:11" x14ac:dyDescent="0.15">
      <c r="A365" t="s">
        <v>184</v>
      </c>
      <c r="B365" t="s">
        <v>185</v>
      </c>
      <c r="C365" t="s">
        <v>586</v>
      </c>
      <c r="D365" t="s">
        <v>902</v>
      </c>
      <c r="E365" t="s">
        <v>903</v>
      </c>
      <c r="F365" t="s">
        <v>21</v>
      </c>
      <c r="G365" t="s">
        <v>21</v>
      </c>
      <c r="H365" t="s">
        <v>22</v>
      </c>
      <c r="I365">
        <v>94</v>
      </c>
      <c r="J365">
        <v>107</v>
      </c>
      <c r="K365">
        <v>13</v>
      </c>
    </row>
    <row r="366" spans="1:11" x14ac:dyDescent="0.15">
      <c r="A366" t="s">
        <v>184</v>
      </c>
      <c r="B366" t="s">
        <v>904</v>
      </c>
      <c r="C366" t="s">
        <v>905</v>
      </c>
      <c r="D366" t="s">
        <v>906</v>
      </c>
      <c r="E366" t="s">
        <v>907</v>
      </c>
      <c r="F366" t="s">
        <v>21</v>
      </c>
      <c r="G366" t="s">
        <v>21</v>
      </c>
      <c r="H366" t="s">
        <v>22</v>
      </c>
      <c r="I366">
        <v>3</v>
      </c>
      <c r="J366">
        <v>3</v>
      </c>
      <c r="K366">
        <v>0</v>
      </c>
    </row>
    <row r="367" spans="1:11" x14ac:dyDescent="0.15">
      <c r="A367" t="s">
        <v>184</v>
      </c>
      <c r="B367" t="s">
        <v>904</v>
      </c>
      <c r="C367" t="s">
        <v>905</v>
      </c>
      <c r="D367" t="s">
        <v>908</v>
      </c>
      <c r="E367" t="s">
        <v>909</v>
      </c>
      <c r="F367" t="s">
        <v>21</v>
      </c>
      <c r="G367" t="s">
        <v>21</v>
      </c>
      <c r="H367" t="s">
        <v>22</v>
      </c>
      <c r="I367">
        <v>1</v>
      </c>
      <c r="J367">
        <v>1</v>
      </c>
      <c r="K367">
        <v>0</v>
      </c>
    </row>
    <row r="368" spans="1:11" x14ac:dyDescent="0.15">
      <c r="A368" t="s">
        <v>15</v>
      </c>
      <c r="B368" t="s">
        <v>540</v>
      </c>
      <c r="C368" t="s">
        <v>910</v>
      </c>
      <c r="D368" t="s">
        <v>911</v>
      </c>
      <c r="E368" t="s">
        <v>912</v>
      </c>
      <c r="F368" t="s">
        <v>21</v>
      </c>
      <c r="G368" t="s">
        <v>21</v>
      </c>
      <c r="H368" t="s">
        <v>22</v>
      </c>
      <c r="I368">
        <v>33</v>
      </c>
      <c r="J368">
        <v>33</v>
      </c>
      <c r="K368">
        <v>0</v>
      </c>
    </row>
    <row r="369" spans="1:11" x14ac:dyDescent="0.15">
      <c r="A369" t="s">
        <v>15</v>
      </c>
      <c r="B369" t="s">
        <v>559</v>
      </c>
      <c r="C369" t="s">
        <v>913</v>
      </c>
      <c r="D369" t="s">
        <v>914</v>
      </c>
      <c r="E369" t="s">
        <v>915</v>
      </c>
      <c r="F369" t="s">
        <v>21</v>
      </c>
      <c r="G369" t="s">
        <v>21</v>
      </c>
      <c r="H369" t="s">
        <v>22</v>
      </c>
      <c r="I369">
        <v>0</v>
      </c>
      <c r="J369">
        <v>27</v>
      </c>
      <c r="K369">
        <v>27</v>
      </c>
    </row>
    <row r="370" spans="1:11" x14ac:dyDescent="0.15">
      <c r="A370" t="s">
        <v>184</v>
      </c>
      <c r="B370" t="s">
        <v>185</v>
      </c>
      <c r="C370" t="s">
        <v>916</v>
      </c>
      <c r="D370" t="s">
        <v>917</v>
      </c>
      <c r="E370" t="s">
        <v>918</v>
      </c>
      <c r="F370" t="s">
        <v>21</v>
      </c>
      <c r="G370" t="s">
        <v>21</v>
      </c>
      <c r="H370" t="s">
        <v>22</v>
      </c>
      <c r="I370">
        <v>54</v>
      </c>
      <c r="J370">
        <v>54</v>
      </c>
      <c r="K370">
        <v>0</v>
      </c>
    </row>
    <row r="371" spans="1:11" x14ac:dyDescent="0.15">
      <c r="A371" t="s">
        <v>184</v>
      </c>
      <c r="B371" t="s">
        <v>185</v>
      </c>
      <c r="C371" t="s">
        <v>916</v>
      </c>
      <c r="D371" t="s">
        <v>919</v>
      </c>
      <c r="E371" t="s">
        <v>920</v>
      </c>
      <c r="F371" t="s">
        <v>21</v>
      </c>
      <c r="G371" t="s">
        <v>21</v>
      </c>
      <c r="H371" t="s">
        <v>22</v>
      </c>
      <c r="I371">
        <v>1</v>
      </c>
      <c r="J371">
        <v>1</v>
      </c>
      <c r="K371">
        <v>0</v>
      </c>
    </row>
    <row r="372" spans="1:11" x14ac:dyDescent="0.15">
      <c r="A372" t="s">
        <v>184</v>
      </c>
      <c r="B372" t="s">
        <v>185</v>
      </c>
      <c r="C372" t="s">
        <v>916</v>
      </c>
      <c r="D372" t="s">
        <v>921</v>
      </c>
      <c r="E372" t="s">
        <v>922</v>
      </c>
      <c r="F372" t="s">
        <v>21</v>
      </c>
      <c r="G372" t="s">
        <v>21</v>
      </c>
      <c r="H372" t="s">
        <v>22</v>
      </c>
      <c r="I372">
        <v>404</v>
      </c>
      <c r="J372">
        <v>433</v>
      </c>
      <c r="K372">
        <v>29</v>
      </c>
    </row>
    <row r="373" spans="1:11" x14ac:dyDescent="0.15">
      <c r="A373" t="s">
        <v>184</v>
      </c>
      <c r="B373" t="s">
        <v>185</v>
      </c>
      <c r="C373" t="s">
        <v>586</v>
      </c>
      <c r="D373" t="s">
        <v>923</v>
      </c>
      <c r="E373" t="s">
        <v>924</v>
      </c>
      <c r="F373" t="s">
        <v>21</v>
      </c>
      <c r="G373" t="s">
        <v>21</v>
      </c>
      <c r="H373" t="s">
        <v>22</v>
      </c>
      <c r="I373">
        <v>3</v>
      </c>
      <c r="J373">
        <v>3</v>
      </c>
      <c r="K373">
        <v>0</v>
      </c>
    </row>
    <row r="374" spans="1:11" x14ac:dyDescent="0.15">
      <c r="A374" t="s">
        <v>310</v>
      </c>
      <c r="B374" t="s">
        <v>311</v>
      </c>
      <c r="C374" t="s">
        <v>140</v>
      </c>
      <c r="D374" t="s">
        <v>925</v>
      </c>
      <c r="E374" t="s">
        <v>926</v>
      </c>
      <c r="F374" t="s">
        <v>21</v>
      </c>
      <c r="G374" t="s">
        <v>21</v>
      </c>
      <c r="H374" t="s">
        <v>22</v>
      </c>
      <c r="I374">
        <v>102</v>
      </c>
      <c r="J374">
        <v>102</v>
      </c>
      <c r="K374">
        <v>0</v>
      </c>
    </row>
    <row r="375" spans="1:11" x14ac:dyDescent="0.15">
      <c r="A375" t="s">
        <v>184</v>
      </c>
      <c r="B375" t="s">
        <v>185</v>
      </c>
      <c r="C375" t="s">
        <v>145</v>
      </c>
      <c r="D375" t="s">
        <v>927</v>
      </c>
      <c r="E375" t="s">
        <v>928</v>
      </c>
      <c r="F375" t="s">
        <v>21</v>
      </c>
      <c r="G375" t="s">
        <v>21</v>
      </c>
      <c r="H375" t="s">
        <v>22</v>
      </c>
      <c r="I375">
        <v>0</v>
      </c>
      <c r="J375">
        <v>1</v>
      </c>
      <c r="K375">
        <v>1</v>
      </c>
    </row>
    <row r="376" spans="1:11" x14ac:dyDescent="0.15">
      <c r="A376" t="s">
        <v>184</v>
      </c>
      <c r="B376" t="s">
        <v>623</v>
      </c>
      <c r="C376" t="s">
        <v>195</v>
      </c>
      <c r="D376" t="s">
        <v>929</v>
      </c>
      <c r="E376" t="s">
        <v>930</v>
      </c>
      <c r="F376" t="s">
        <v>21</v>
      </c>
      <c r="G376" t="s">
        <v>21</v>
      </c>
      <c r="H376" t="s">
        <v>22</v>
      </c>
      <c r="I376">
        <v>15</v>
      </c>
      <c r="J376">
        <v>15</v>
      </c>
      <c r="K376">
        <v>0</v>
      </c>
    </row>
    <row r="377" spans="1:11" x14ac:dyDescent="0.15">
      <c r="A377" t="s">
        <v>184</v>
      </c>
      <c r="B377" t="s">
        <v>623</v>
      </c>
      <c r="C377" t="s">
        <v>195</v>
      </c>
      <c r="D377" t="s">
        <v>931</v>
      </c>
      <c r="E377" t="s">
        <v>932</v>
      </c>
      <c r="F377" t="s">
        <v>21</v>
      </c>
      <c r="G377" t="s">
        <v>21</v>
      </c>
      <c r="H377" t="s">
        <v>22</v>
      </c>
      <c r="I377">
        <v>18</v>
      </c>
      <c r="J377">
        <v>18</v>
      </c>
      <c r="K377">
        <v>0</v>
      </c>
    </row>
    <row r="378" spans="1:11" x14ac:dyDescent="0.15">
      <c r="A378" t="s">
        <v>184</v>
      </c>
      <c r="B378" t="s">
        <v>623</v>
      </c>
      <c r="C378" t="s">
        <v>195</v>
      </c>
      <c r="D378" t="s">
        <v>933</v>
      </c>
      <c r="E378" t="s">
        <v>934</v>
      </c>
      <c r="F378" t="s">
        <v>21</v>
      </c>
      <c r="G378" t="s">
        <v>21</v>
      </c>
      <c r="H378" t="s">
        <v>22</v>
      </c>
      <c r="I378">
        <v>12</v>
      </c>
      <c r="J378">
        <v>12</v>
      </c>
      <c r="K378">
        <v>0</v>
      </c>
    </row>
    <row r="379" spans="1:11" x14ac:dyDescent="0.15">
      <c r="A379" t="s">
        <v>184</v>
      </c>
      <c r="B379" t="s">
        <v>623</v>
      </c>
      <c r="C379" t="s">
        <v>195</v>
      </c>
      <c r="D379" t="s">
        <v>935</v>
      </c>
      <c r="E379" t="s">
        <v>936</v>
      </c>
      <c r="F379" t="s">
        <v>21</v>
      </c>
      <c r="G379" t="s">
        <v>21</v>
      </c>
      <c r="H379" t="s">
        <v>22</v>
      </c>
      <c r="I379">
        <v>8</v>
      </c>
      <c r="J379">
        <v>8</v>
      </c>
      <c r="K379">
        <v>0</v>
      </c>
    </row>
    <row r="380" spans="1:11" x14ac:dyDescent="0.15">
      <c r="A380" t="s">
        <v>184</v>
      </c>
      <c r="B380" t="s">
        <v>623</v>
      </c>
      <c r="C380" t="s">
        <v>830</v>
      </c>
      <c r="D380" t="s">
        <v>937</v>
      </c>
      <c r="E380" t="s">
        <v>938</v>
      </c>
      <c r="F380" t="s">
        <v>21</v>
      </c>
      <c r="G380" t="s">
        <v>21</v>
      </c>
      <c r="H380" t="s">
        <v>22</v>
      </c>
      <c r="I380">
        <v>25</v>
      </c>
      <c r="J380">
        <v>25</v>
      </c>
      <c r="K380">
        <v>0</v>
      </c>
    </row>
    <row r="381" spans="1:11" x14ac:dyDescent="0.15">
      <c r="A381" t="s">
        <v>184</v>
      </c>
      <c r="B381" t="s">
        <v>623</v>
      </c>
      <c r="C381" t="s">
        <v>830</v>
      </c>
      <c r="D381" t="s">
        <v>939</v>
      </c>
      <c r="E381" t="s">
        <v>940</v>
      </c>
      <c r="F381" t="s">
        <v>21</v>
      </c>
      <c r="G381" t="s">
        <v>21</v>
      </c>
      <c r="H381" t="s">
        <v>22</v>
      </c>
      <c r="I381">
        <v>20</v>
      </c>
      <c r="J381">
        <v>20</v>
      </c>
      <c r="K381">
        <v>0</v>
      </c>
    </row>
    <row r="382" spans="1:11" x14ac:dyDescent="0.15">
      <c r="A382" t="s">
        <v>15</v>
      </c>
      <c r="B382" t="s">
        <v>53</v>
      </c>
      <c r="C382" t="s">
        <v>941</v>
      </c>
      <c r="D382" t="s">
        <v>942</v>
      </c>
      <c r="E382" t="s">
        <v>943</v>
      </c>
      <c r="F382" t="s">
        <v>21</v>
      </c>
      <c r="G382" t="s">
        <v>21</v>
      </c>
      <c r="H382" t="s">
        <v>22</v>
      </c>
      <c r="I382">
        <v>0</v>
      </c>
      <c r="J382">
        <v>14</v>
      </c>
      <c r="K382">
        <v>14</v>
      </c>
    </row>
    <row r="383" spans="1:11" x14ac:dyDescent="0.15">
      <c r="A383" t="s">
        <v>15</v>
      </c>
      <c r="B383" t="s">
        <v>49</v>
      </c>
      <c r="C383" t="s">
        <v>944</v>
      </c>
      <c r="D383" t="s">
        <v>945</v>
      </c>
      <c r="E383" t="s">
        <v>946</v>
      </c>
      <c r="F383" t="s">
        <v>21</v>
      </c>
      <c r="G383" t="s">
        <v>21</v>
      </c>
      <c r="H383" t="s">
        <v>22</v>
      </c>
      <c r="I383">
        <v>0</v>
      </c>
      <c r="J383">
        <v>1</v>
      </c>
      <c r="K383">
        <v>1</v>
      </c>
    </row>
    <row r="384" spans="1:11" x14ac:dyDescent="0.15">
      <c r="A384" t="s">
        <v>184</v>
      </c>
      <c r="B384" t="s">
        <v>623</v>
      </c>
      <c r="C384" t="s">
        <v>808</v>
      </c>
      <c r="D384" t="s">
        <v>947</v>
      </c>
      <c r="E384" t="s">
        <v>948</v>
      </c>
      <c r="F384" t="s">
        <v>21</v>
      </c>
      <c r="G384" t="s">
        <v>21</v>
      </c>
      <c r="H384" t="s">
        <v>22</v>
      </c>
      <c r="I384">
        <v>1</v>
      </c>
      <c r="J384">
        <v>2</v>
      </c>
      <c r="K384">
        <v>1</v>
      </c>
    </row>
    <row r="385" spans="1:11" x14ac:dyDescent="0.15">
      <c r="A385" t="s">
        <v>184</v>
      </c>
      <c r="B385" t="s">
        <v>623</v>
      </c>
      <c r="C385" t="s">
        <v>949</v>
      </c>
      <c r="D385" t="s">
        <v>950</v>
      </c>
      <c r="E385" t="s">
        <v>951</v>
      </c>
      <c r="F385" t="s">
        <v>21</v>
      </c>
      <c r="G385" t="s">
        <v>21</v>
      </c>
      <c r="H385" t="s">
        <v>22</v>
      </c>
      <c r="I385">
        <v>3</v>
      </c>
      <c r="J385">
        <v>3</v>
      </c>
      <c r="K385">
        <v>0</v>
      </c>
    </row>
    <row r="386" spans="1:11" x14ac:dyDescent="0.15">
      <c r="A386" t="s">
        <v>184</v>
      </c>
      <c r="B386" t="s">
        <v>623</v>
      </c>
      <c r="C386" t="s">
        <v>949</v>
      </c>
      <c r="D386" t="s">
        <v>952</v>
      </c>
      <c r="E386" t="s">
        <v>953</v>
      </c>
      <c r="F386" t="s">
        <v>21</v>
      </c>
      <c r="G386" t="s">
        <v>21</v>
      </c>
      <c r="H386" t="s">
        <v>22</v>
      </c>
      <c r="I386">
        <v>4</v>
      </c>
      <c r="J386">
        <v>4</v>
      </c>
      <c r="K386">
        <v>0</v>
      </c>
    </row>
    <row r="387" spans="1:11" x14ac:dyDescent="0.15">
      <c r="A387" t="s">
        <v>184</v>
      </c>
      <c r="B387" t="s">
        <v>623</v>
      </c>
      <c r="C387" t="s">
        <v>808</v>
      </c>
      <c r="D387" t="s">
        <v>954</v>
      </c>
      <c r="E387" t="s">
        <v>955</v>
      </c>
      <c r="F387" t="s">
        <v>21</v>
      </c>
      <c r="G387" t="s">
        <v>21</v>
      </c>
      <c r="H387" t="s">
        <v>22</v>
      </c>
      <c r="I387">
        <v>3</v>
      </c>
      <c r="J387">
        <v>4</v>
      </c>
      <c r="K387">
        <v>1</v>
      </c>
    </row>
    <row r="388" spans="1:11" x14ac:dyDescent="0.15">
      <c r="A388" t="s">
        <v>184</v>
      </c>
      <c r="B388" t="s">
        <v>763</v>
      </c>
      <c r="C388" t="s">
        <v>863</v>
      </c>
      <c r="D388" t="s">
        <v>956</v>
      </c>
      <c r="E388" t="s">
        <v>957</v>
      </c>
      <c r="F388" t="s">
        <v>21</v>
      </c>
      <c r="G388" t="s">
        <v>21</v>
      </c>
      <c r="H388" t="s">
        <v>22</v>
      </c>
      <c r="I388">
        <v>8</v>
      </c>
      <c r="J388">
        <v>8</v>
      </c>
      <c r="K388">
        <v>0</v>
      </c>
    </row>
    <row r="389" spans="1:11" x14ac:dyDescent="0.15">
      <c r="A389" t="s">
        <v>143</v>
      </c>
      <c r="B389" t="s">
        <v>176</v>
      </c>
      <c r="C389" t="s">
        <v>573</v>
      </c>
      <c r="D389" t="s">
        <v>958</v>
      </c>
      <c r="E389" t="s">
        <v>959</v>
      </c>
      <c r="F389" t="s">
        <v>21</v>
      </c>
      <c r="G389" t="s">
        <v>21</v>
      </c>
      <c r="H389" t="s">
        <v>22</v>
      </c>
      <c r="I389">
        <v>353</v>
      </c>
      <c r="J389">
        <v>353</v>
      </c>
      <c r="K389">
        <v>0</v>
      </c>
    </row>
    <row r="390" spans="1:11" x14ac:dyDescent="0.15">
      <c r="A390" t="s">
        <v>184</v>
      </c>
      <c r="B390" t="s">
        <v>185</v>
      </c>
      <c r="C390" t="s">
        <v>195</v>
      </c>
      <c r="D390" t="s">
        <v>960</v>
      </c>
      <c r="E390" t="s">
        <v>961</v>
      </c>
      <c r="F390" t="s">
        <v>21</v>
      </c>
      <c r="G390" t="s">
        <v>21</v>
      </c>
      <c r="H390" t="s">
        <v>22</v>
      </c>
      <c r="I390">
        <v>3</v>
      </c>
      <c r="J390">
        <v>3</v>
      </c>
      <c r="K390">
        <v>0</v>
      </c>
    </row>
    <row r="391" spans="1:11" x14ac:dyDescent="0.15">
      <c r="A391" t="s">
        <v>15</v>
      </c>
      <c r="B391" t="s">
        <v>75</v>
      </c>
      <c r="C391" t="s">
        <v>76</v>
      </c>
      <c r="D391" t="s">
        <v>962</v>
      </c>
      <c r="E391" t="s">
        <v>963</v>
      </c>
      <c r="F391" t="s">
        <v>21</v>
      </c>
      <c r="G391" t="s">
        <v>21</v>
      </c>
      <c r="H391" t="s">
        <v>22</v>
      </c>
      <c r="I391">
        <v>53</v>
      </c>
      <c r="J391">
        <v>61</v>
      </c>
      <c r="K391">
        <v>8</v>
      </c>
    </row>
    <row r="392" spans="1:11" x14ac:dyDescent="0.15">
      <c r="A392" t="s">
        <v>15</v>
      </c>
      <c r="B392" t="s">
        <v>75</v>
      </c>
      <c r="C392" t="s">
        <v>76</v>
      </c>
      <c r="D392" t="s">
        <v>964</v>
      </c>
      <c r="E392" t="s">
        <v>965</v>
      </c>
      <c r="F392" t="s">
        <v>21</v>
      </c>
      <c r="G392" t="s">
        <v>21</v>
      </c>
      <c r="H392" t="s">
        <v>22</v>
      </c>
      <c r="I392">
        <v>48</v>
      </c>
      <c r="J392">
        <v>48</v>
      </c>
      <c r="K392">
        <v>0</v>
      </c>
    </row>
    <row r="393" spans="1:11" x14ac:dyDescent="0.15">
      <c r="A393" t="s">
        <v>15</v>
      </c>
      <c r="B393" t="s">
        <v>75</v>
      </c>
      <c r="C393" t="s">
        <v>76</v>
      </c>
      <c r="D393" t="s">
        <v>966</v>
      </c>
      <c r="E393" t="s">
        <v>967</v>
      </c>
      <c r="F393" t="s">
        <v>21</v>
      </c>
      <c r="G393" t="s">
        <v>21</v>
      </c>
      <c r="H393" t="s">
        <v>22</v>
      </c>
      <c r="I393">
        <v>6</v>
      </c>
      <c r="J393">
        <v>21</v>
      </c>
      <c r="K393">
        <v>15</v>
      </c>
    </row>
    <row r="394" spans="1:11" x14ac:dyDescent="0.15">
      <c r="A394" t="s">
        <v>15</v>
      </c>
      <c r="B394" t="s">
        <v>360</v>
      </c>
      <c r="C394" t="s">
        <v>821</v>
      </c>
      <c r="D394" t="s">
        <v>968</v>
      </c>
      <c r="E394" t="s">
        <v>969</v>
      </c>
      <c r="F394" t="s">
        <v>21</v>
      </c>
      <c r="G394" t="s">
        <v>21</v>
      </c>
      <c r="H394" t="s">
        <v>22</v>
      </c>
      <c r="I394">
        <v>13</v>
      </c>
      <c r="J394">
        <v>14</v>
      </c>
      <c r="K394">
        <v>1</v>
      </c>
    </row>
    <row r="395" spans="1:11" x14ac:dyDescent="0.15">
      <c r="A395" t="s">
        <v>15</v>
      </c>
      <c r="B395" t="s">
        <v>360</v>
      </c>
      <c r="C395" t="s">
        <v>821</v>
      </c>
      <c r="D395" t="s">
        <v>970</v>
      </c>
      <c r="E395" t="s">
        <v>971</v>
      </c>
      <c r="F395" t="s">
        <v>21</v>
      </c>
      <c r="G395" t="s">
        <v>21</v>
      </c>
      <c r="H395" t="s">
        <v>22</v>
      </c>
      <c r="I395">
        <v>11</v>
      </c>
      <c r="J395">
        <v>11</v>
      </c>
      <c r="K395">
        <v>0</v>
      </c>
    </row>
    <row r="396" spans="1:11" x14ac:dyDescent="0.15">
      <c r="A396" t="s">
        <v>184</v>
      </c>
      <c r="B396" t="s">
        <v>515</v>
      </c>
      <c r="C396" t="s">
        <v>791</v>
      </c>
      <c r="D396" t="s">
        <v>972</v>
      </c>
      <c r="E396" t="s">
        <v>973</v>
      </c>
      <c r="F396" t="s">
        <v>21</v>
      </c>
      <c r="G396" t="s">
        <v>21</v>
      </c>
      <c r="H396" t="s">
        <v>22</v>
      </c>
      <c r="I396">
        <v>3</v>
      </c>
      <c r="J396">
        <v>3</v>
      </c>
      <c r="K396">
        <v>0</v>
      </c>
    </row>
    <row r="397" spans="1:11" x14ac:dyDescent="0.15">
      <c r="A397" t="s">
        <v>184</v>
      </c>
      <c r="B397" t="s">
        <v>515</v>
      </c>
      <c r="C397" t="s">
        <v>791</v>
      </c>
      <c r="D397" t="s">
        <v>974</v>
      </c>
      <c r="E397" t="s">
        <v>975</v>
      </c>
      <c r="F397" t="s">
        <v>21</v>
      </c>
      <c r="G397" t="s">
        <v>21</v>
      </c>
      <c r="H397" t="s">
        <v>22</v>
      </c>
      <c r="I397">
        <v>5</v>
      </c>
      <c r="J397">
        <v>5</v>
      </c>
      <c r="K397">
        <v>0</v>
      </c>
    </row>
    <row r="398" spans="1:11" x14ac:dyDescent="0.15">
      <c r="A398" t="s">
        <v>184</v>
      </c>
      <c r="B398" t="s">
        <v>515</v>
      </c>
      <c r="C398" t="s">
        <v>791</v>
      </c>
      <c r="D398" t="s">
        <v>976</v>
      </c>
      <c r="E398" t="s">
        <v>977</v>
      </c>
      <c r="F398" t="s">
        <v>21</v>
      </c>
      <c r="G398" t="s">
        <v>21</v>
      </c>
      <c r="H398" t="s">
        <v>22</v>
      </c>
      <c r="I398">
        <v>11</v>
      </c>
      <c r="J398">
        <v>11</v>
      </c>
      <c r="K398">
        <v>0</v>
      </c>
    </row>
    <row r="399" spans="1:11" x14ac:dyDescent="0.15">
      <c r="A399" t="s">
        <v>184</v>
      </c>
      <c r="B399" t="s">
        <v>515</v>
      </c>
      <c r="C399" t="s">
        <v>791</v>
      </c>
      <c r="D399" t="s">
        <v>978</v>
      </c>
      <c r="E399" t="s">
        <v>979</v>
      </c>
      <c r="F399" t="s">
        <v>21</v>
      </c>
      <c r="G399" t="s">
        <v>21</v>
      </c>
      <c r="H399" t="s">
        <v>22</v>
      </c>
      <c r="I399">
        <v>12</v>
      </c>
      <c r="J399">
        <v>12</v>
      </c>
      <c r="K399">
        <v>0</v>
      </c>
    </row>
    <row r="400" spans="1:11" x14ac:dyDescent="0.15">
      <c r="A400" t="s">
        <v>184</v>
      </c>
      <c r="B400" t="s">
        <v>515</v>
      </c>
      <c r="C400" t="s">
        <v>791</v>
      </c>
      <c r="D400" t="s">
        <v>980</v>
      </c>
      <c r="E400" t="s">
        <v>981</v>
      </c>
      <c r="F400" t="s">
        <v>21</v>
      </c>
      <c r="G400" t="s">
        <v>21</v>
      </c>
      <c r="H400" t="s">
        <v>22</v>
      </c>
      <c r="I400">
        <v>6</v>
      </c>
      <c r="J400">
        <v>7</v>
      </c>
      <c r="K400">
        <v>1</v>
      </c>
    </row>
    <row r="401" spans="1:11" x14ac:dyDescent="0.15">
      <c r="A401" t="s">
        <v>184</v>
      </c>
      <c r="B401" t="s">
        <v>743</v>
      </c>
      <c r="C401" t="s">
        <v>835</v>
      </c>
      <c r="D401" t="s">
        <v>982</v>
      </c>
      <c r="E401" t="s">
        <v>983</v>
      </c>
      <c r="F401" t="s">
        <v>21</v>
      </c>
      <c r="G401" t="s">
        <v>21</v>
      </c>
      <c r="H401" t="s">
        <v>22</v>
      </c>
      <c r="I401">
        <v>10</v>
      </c>
      <c r="J401">
        <v>10</v>
      </c>
      <c r="K401">
        <v>0</v>
      </c>
    </row>
    <row r="402" spans="1:11" x14ac:dyDescent="0.15">
      <c r="A402" t="s">
        <v>184</v>
      </c>
      <c r="B402" t="s">
        <v>904</v>
      </c>
      <c r="C402" t="s">
        <v>984</v>
      </c>
      <c r="D402" t="s">
        <v>985</v>
      </c>
      <c r="E402" t="s">
        <v>986</v>
      </c>
      <c r="F402" t="s">
        <v>21</v>
      </c>
      <c r="G402" t="s">
        <v>21</v>
      </c>
      <c r="H402" t="s">
        <v>22</v>
      </c>
      <c r="I402">
        <v>1</v>
      </c>
      <c r="J402">
        <v>1</v>
      </c>
      <c r="K402">
        <v>0</v>
      </c>
    </row>
    <row r="403" spans="1:11" x14ac:dyDescent="0.15">
      <c r="A403" t="s">
        <v>15</v>
      </c>
      <c r="B403" t="s">
        <v>443</v>
      </c>
      <c r="C403" t="s">
        <v>808</v>
      </c>
      <c r="D403" t="s">
        <v>987</v>
      </c>
      <c r="E403" t="s">
        <v>988</v>
      </c>
      <c r="F403" t="s">
        <v>21</v>
      </c>
      <c r="G403" t="s">
        <v>21</v>
      </c>
      <c r="H403" t="s">
        <v>22</v>
      </c>
      <c r="I403">
        <v>55</v>
      </c>
      <c r="J403">
        <v>60</v>
      </c>
      <c r="K403">
        <v>5</v>
      </c>
    </row>
    <row r="404" spans="1:11" x14ac:dyDescent="0.15">
      <c r="A404" t="s">
        <v>15</v>
      </c>
      <c r="B404" t="s">
        <v>443</v>
      </c>
      <c r="C404" t="s">
        <v>808</v>
      </c>
      <c r="D404" t="s">
        <v>989</v>
      </c>
      <c r="E404" t="s">
        <v>990</v>
      </c>
      <c r="F404" t="s">
        <v>21</v>
      </c>
      <c r="G404" t="s">
        <v>21</v>
      </c>
      <c r="H404" t="s">
        <v>22</v>
      </c>
      <c r="I404">
        <v>40</v>
      </c>
      <c r="J404">
        <v>45</v>
      </c>
      <c r="K404">
        <v>5</v>
      </c>
    </row>
    <row r="405" spans="1:11" x14ac:dyDescent="0.15">
      <c r="A405" t="s">
        <v>15</v>
      </c>
      <c r="B405" t="s">
        <v>443</v>
      </c>
      <c r="C405" t="s">
        <v>808</v>
      </c>
      <c r="D405" t="s">
        <v>991</v>
      </c>
      <c r="E405" t="s">
        <v>992</v>
      </c>
      <c r="F405" t="s">
        <v>21</v>
      </c>
      <c r="G405" t="s">
        <v>21</v>
      </c>
      <c r="H405" t="s">
        <v>22</v>
      </c>
      <c r="I405">
        <v>1</v>
      </c>
      <c r="J405">
        <v>3</v>
      </c>
      <c r="K405">
        <v>2</v>
      </c>
    </row>
    <row r="406" spans="1:11" x14ac:dyDescent="0.15">
      <c r="A406" t="s">
        <v>184</v>
      </c>
      <c r="B406" t="s">
        <v>515</v>
      </c>
      <c r="C406" t="s">
        <v>195</v>
      </c>
      <c r="D406" t="s">
        <v>993</v>
      </c>
      <c r="E406" t="s">
        <v>994</v>
      </c>
      <c r="F406" t="s">
        <v>21</v>
      </c>
      <c r="G406" t="s">
        <v>21</v>
      </c>
      <c r="H406" t="s">
        <v>22</v>
      </c>
      <c r="I406">
        <v>18</v>
      </c>
      <c r="J406">
        <v>18</v>
      </c>
      <c r="K406">
        <v>0</v>
      </c>
    </row>
    <row r="407" spans="1:11" x14ac:dyDescent="0.15">
      <c r="A407" t="s">
        <v>184</v>
      </c>
      <c r="B407" t="s">
        <v>515</v>
      </c>
      <c r="C407" t="s">
        <v>195</v>
      </c>
      <c r="D407" t="s">
        <v>995</v>
      </c>
      <c r="E407" t="s">
        <v>996</v>
      </c>
      <c r="F407" t="s">
        <v>21</v>
      </c>
      <c r="G407" t="s">
        <v>21</v>
      </c>
      <c r="H407" t="s">
        <v>22</v>
      </c>
      <c r="I407">
        <v>24</v>
      </c>
      <c r="J407">
        <v>25</v>
      </c>
      <c r="K407">
        <v>1</v>
      </c>
    </row>
    <row r="408" spans="1:11" x14ac:dyDescent="0.15">
      <c r="A408" t="s">
        <v>184</v>
      </c>
      <c r="B408" t="s">
        <v>515</v>
      </c>
      <c r="C408" t="s">
        <v>195</v>
      </c>
      <c r="D408" t="s">
        <v>997</v>
      </c>
      <c r="E408" t="s">
        <v>998</v>
      </c>
      <c r="F408" t="s">
        <v>21</v>
      </c>
      <c r="G408" t="s">
        <v>21</v>
      </c>
      <c r="H408" t="s">
        <v>22</v>
      </c>
      <c r="I408">
        <v>16</v>
      </c>
      <c r="J408">
        <v>18</v>
      </c>
      <c r="K408">
        <v>2</v>
      </c>
    </row>
    <row r="409" spans="1:11" x14ac:dyDescent="0.15">
      <c r="A409" t="s">
        <v>15</v>
      </c>
      <c r="B409" t="s">
        <v>75</v>
      </c>
      <c r="C409" t="s">
        <v>999</v>
      </c>
      <c r="D409" t="s">
        <v>1000</v>
      </c>
      <c r="E409" t="s">
        <v>1001</v>
      </c>
      <c r="F409" t="s">
        <v>21</v>
      </c>
      <c r="G409" t="s">
        <v>21</v>
      </c>
      <c r="H409" t="s">
        <v>22</v>
      </c>
      <c r="I409">
        <v>5</v>
      </c>
      <c r="J409">
        <v>5</v>
      </c>
      <c r="K409">
        <v>0</v>
      </c>
    </row>
    <row r="410" spans="1:11" x14ac:dyDescent="0.15">
      <c r="A410" t="s">
        <v>184</v>
      </c>
      <c r="B410" t="s">
        <v>515</v>
      </c>
      <c r="C410" t="s">
        <v>195</v>
      </c>
      <c r="D410" t="s">
        <v>1002</v>
      </c>
      <c r="E410" t="s">
        <v>1003</v>
      </c>
      <c r="F410" t="s">
        <v>21</v>
      </c>
      <c r="G410" t="s">
        <v>21</v>
      </c>
      <c r="H410" t="s">
        <v>22</v>
      </c>
      <c r="I410">
        <v>2</v>
      </c>
      <c r="J410">
        <v>2</v>
      </c>
      <c r="K410">
        <v>0</v>
      </c>
    </row>
    <row r="411" spans="1:11" x14ac:dyDescent="0.15">
      <c r="A411" t="s">
        <v>184</v>
      </c>
      <c r="B411" t="s">
        <v>515</v>
      </c>
      <c r="C411" t="s">
        <v>195</v>
      </c>
      <c r="D411" t="s">
        <v>1004</v>
      </c>
      <c r="E411" t="s">
        <v>1005</v>
      </c>
      <c r="F411" t="s">
        <v>21</v>
      </c>
      <c r="G411" t="s">
        <v>21</v>
      </c>
      <c r="H411" t="s">
        <v>22</v>
      </c>
      <c r="I411">
        <v>7</v>
      </c>
      <c r="J411">
        <v>7</v>
      </c>
      <c r="K411">
        <v>0</v>
      </c>
    </row>
    <row r="412" spans="1:11" x14ac:dyDescent="0.15">
      <c r="A412" t="s">
        <v>184</v>
      </c>
      <c r="B412" t="s">
        <v>515</v>
      </c>
      <c r="C412" t="s">
        <v>195</v>
      </c>
      <c r="D412" t="s">
        <v>1006</v>
      </c>
      <c r="E412" t="s">
        <v>1007</v>
      </c>
      <c r="F412" t="s">
        <v>21</v>
      </c>
      <c r="G412" t="s">
        <v>21</v>
      </c>
      <c r="H412" t="s">
        <v>22</v>
      </c>
      <c r="I412">
        <v>11</v>
      </c>
      <c r="J412">
        <v>11</v>
      </c>
      <c r="K412">
        <v>0</v>
      </c>
    </row>
    <row r="413" spans="1:11" x14ac:dyDescent="0.15">
      <c r="A413" t="s">
        <v>184</v>
      </c>
      <c r="B413" t="s">
        <v>515</v>
      </c>
      <c r="C413" t="s">
        <v>195</v>
      </c>
      <c r="D413" t="s">
        <v>1008</v>
      </c>
      <c r="E413" t="s">
        <v>1009</v>
      </c>
      <c r="F413" t="s">
        <v>21</v>
      </c>
      <c r="G413" t="s">
        <v>21</v>
      </c>
      <c r="H413" t="s">
        <v>22</v>
      </c>
      <c r="I413">
        <v>2</v>
      </c>
      <c r="J413">
        <v>2</v>
      </c>
      <c r="K413">
        <v>0</v>
      </c>
    </row>
    <row r="414" spans="1:11" x14ac:dyDescent="0.15">
      <c r="A414" t="s">
        <v>184</v>
      </c>
      <c r="B414" t="s">
        <v>515</v>
      </c>
      <c r="C414" t="s">
        <v>195</v>
      </c>
      <c r="D414" t="s">
        <v>1010</v>
      </c>
      <c r="E414" t="s">
        <v>1011</v>
      </c>
      <c r="F414" t="s">
        <v>21</v>
      </c>
      <c r="G414" t="s">
        <v>21</v>
      </c>
      <c r="H414" t="s">
        <v>22</v>
      </c>
      <c r="I414">
        <v>5</v>
      </c>
      <c r="J414">
        <v>5</v>
      </c>
      <c r="K414">
        <v>0</v>
      </c>
    </row>
    <row r="415" spans="1:11" x14ac:dyDescent="0.15">
      <c r="A415" t="s">
        <v>184</v>
      </c>
      <c r="B415" t="s">
        <v>515</v>
      </c>
      <c r="C415" t="s">
        <v>195</v>
      </c>
      <c r="D415" t="s">
        <v>1012</v>
      </c>
      <c r="E415" t="s">
        <v>1013</v>
      </c>
      <c r="F415" t="s">
        <v>21</v>
      </c>
      <c r="G415" t="s">
        <v>21</v>
      </c>
      <c r="H415" t="s">
        <v>22</v>
      </c>
      <c r="I415">
        <v>9</v>
      </c>
      <c r="J415">
        <v>9</v>
      </c>
      <c r="K415">
        <v>0</v>
      </c>
    </row>
    <row r="416" spans="1:11" x14ac:dyDescent="0.15">
      <c r="A416" t="s">
        <v>184</v>
      </c>
      <c r="B416" t="s">
        <v>515</v>
      </c>
      <c r="C416" t="s">
        <v>195</v>
      </c>
      <c r="D416" t="s">
        <v>1014</v>
      </c>
      <c r="E416" t="s">
        <v>1015</v>
      </c>
      <c r="F416" t="s">
        <v>21</v>
      </c>
      <c r="G416" t="s">
        <v>21</v>
      </c>
      <c r="H416" t="s">
        <v>22</v>
      </c>
      <c r="I416">
        <v>6</v>
      </c>
      <c r="J416">
        <v>6</v>
      </c>
      <c r="K416">
        <v>0</v>
      </c>
    </row>
    <row r="417" spans="1:11" x14ac:dyDescent="0.15">
      <c r="A417" t="s">
        <v>15</v>
      </c>
      <c r="B417" t="s">
        <v>49</v>
      </c>
      <c r="C417" t="s">
        <v>941</v>
      </c>
      <c r="D417" t="s">
        <v>1016</v>
      </c>
      <c r="E417" t="s">
        <v>1017</v>
      </c>
      <c r="F417" t="s">
        <v>21</v>
      </c>
      <c r="G417" t="s">
        <v>21</v>
      </c>
      <c r="H417" t="s">
        <v>22</v>
      </c>
      <c r="I417">
        <v>3</v>
      </c>
      <c r="J417">
        <v>3</v>
      </c>
      <c r="K417">
        <v>0</v>
      </c>
    </row>
    <row r="418" spans="1:11" x14ac:dyDescent="0.15">
      <c r="A418" t="s">
        <v>15</v>
      </c>
      <c r="B418" t="s">
        <v>100</v>
      </c>
      <c r="C418" t="s">
        <v>17</v>
      </c>
      <c r="D418" t="s">
        <v>1018</v>
      </c>
      <c r="E418" t="s">
        <v>1019</v>
      </c>
      <c r="F418" t="s">
        <v>21</v>
      </c>
      <c r="G418" t="s">
        <v>21</v>
      </c>
      <c r="H418" t="s">
        <v>22</v>
      </c>
      <c r="I418">
        <v>0</v>
      </c>
      <c r="J418">
        <v>2</v>
      </c>
      <c r="K418">
        <v>2</v>
      </c>
    </row>
    <row r="419" spans="1:11" x14ac:dyDescent="0.15">
      <c r="A419" t="s">
        <v>184</v>
      </c>
      <c r="B419" t="s">
        <v>432</v>
      </c>
      <c r="C419" t="s">
        <v>905</v>
      </c>
      <c r="D419" t="s">
        <v>1020</v>
      </c>
      <c r="E419" t="s">
        <v>1021</v>
      </c>
      <c r="F419" t="s">
        <v>21</v>
      </c>
      <c r="G419" t="s">
        <v>21</v>
      </c>
      <c r="H419" t="s">
        <v>22</v>
      </c>
      <c r="I419">
        <v>2</v>
      </c>
      <c r="J419">
        <v>2</v>
      </c>
      <c r="K419">
        <v>0</v>
      </c>
    </row>
    <row r="420" spans="1:11" x14ac:dyDescent="0.15">
      <c r="A420" t="s">
        <v>184</v>
      </c>
      <c r="B420" t="s">
        <v>432</v>
      </c>
      <c r="C420" t="s">
        <v>905</v>
      </c>
      <c r="D420" t="s">
        <v>1022</v>
      </c>
      <c r="E420" t="s">
        <v>1023</v>
      </c>
      <c r="F420" t="s">
        <v>21</v>
      </c>
      <c r="G420" t="s">
        <v>21</v>
      </c>
      <c r="H420" t="s">
        <v>22</v>
      </c>
      <c r="I420">
        <v>2</v>
      </c>
      <c r="J420">
        <v>2</v>
      </c>
      <c r="K420">
        <v>0</v>
      </c>
    </row>
    <row r="421" spans="1:11" x14ac:dyDescent="0.15">
      <c r="A421" t="s">
        <v>184</v>
      </c>
      <c r="B421" t="s">
        <v>432</v>
      </c>
      <c r="C421" t="s">
        <v>905</v>
      </c>
      <c r="D421" t="s">
        <v>1024</v>
      </c>
      <c r="E421" t="s">
        <v>1025</v>
      </c>
      <c r="F421" t="s">
        <v>21</v>
      </c>
      <c r="G421" t="s">
        <v>21</v>
      </c>
      <c r="H421" t="s">
        <v>22</v>
      </c>
      <c r="I421">
        <v>1</v>
      </c>
      <c r="J421">
        <v>1</v>
      </c>
      <c r="K421">
        <v>0</v>
      </c>
    </row>
    <row r="422" spans="1:11" x14ac:dyDescent="0.15">
      <c r="A422" t="s">
        <v>15</v>
      </c>
      <c r="B422" t="s">
        <v>36</v>
      </c>
      <c r="C422" t="s">
        <v>76</v>
      </c>
      <c r="D422" t="s">
        <v>1026</v>
      </c>
      <c r="E422" t="s">
        <v>1027</v>
      </c>
      <c r="F422" t="s">
        <v>21</v>
      </c>
      <c r="G422" t="s">
        <v>21</v>
      </c>
      <c r="H422" t="s">
        <v>22</v>
      </c>
      <c r="I422">
        <v>1</v>
      </c>
      <c r="J422">
        <v>1</v>
      </c>
      <c r="K422">
        <v>0</v>
      </c>
    </row>
    <row r="423" spans="1:11" x14ac:dyDescent="0.15">
      <c r="A423" t="s">
        <v>138</v>
      </c>
      <c r="B423" t="s">
        <v>683</v>
      </c>
      <c r="C423" t="s">
        <v>1028</v>
      </c>
      <c r="D423" t="s">
        <v>1029</v>
      </c>
      <c r="E423" t="s">
        <v>1030</v>
      </c>
      <c r="F423" t="s">
        <v>21</v>
      </c>
      <c r="G423" t="s">
        <v>21</v>
      </c>
      <c r="H423" t="s">
        <v>22</v>
      </c>
      <c r="I423">
        <v>3</v>
      </c>
      <c r="J423">
        <v>3</v>
      </c>
      <c r="K423">
        <v>0</v>
      </c>
    </row>
    <row r="424" spans="1:11" x14ac:dyDescent="0.15">
      <c r="A424" t="s">
        <v>15</v>
      </c>
      <c r="B424" t="s">
        <v>100</v>
      </c>
      <c r="C424" t="s">
        <v>910</v>
      </c>
      <c r="D424" t="s">
        <v>1031</v>
      </c>
      <c r="E424" t="s">
        <v>1032</v>
      </c>
      <c r="F424" t="s">
        <v>21</v>
      </c>
      <c r="G424" t="s">
        <v>21</v>
      </c>
      <c r="H424" t="s">
        <v>22</v>
      </c>
      <c r="I424">
        <v>95</v>
      </c>
      <c r="J424">
        <v>95</v>
      </c>
      <c r="K424">
        <v>0</v>
      </c>
    </row>
    <row r="425" spans="1:11" x14ac:dyDescent="0.15">
      <c r="A425" t="s">
        <v>138</v>
      </c>
      <c r="B425" t="s">
        <v>381</v>
      </c>
      <c r="C425" t="s">
        <v>667</v>
      </c>
      <c r="D425" t="s">
        <v>1033</v>
      </c>
      <c r="E425" t="s">
        <v>1034</v>
      </c>
      <c r="F425" t="s">
        <v>21</v>
      </c>
      <c r="G425" t="s">
        <v>21</v>
      </c>
      <c r="H425" t="s">
        <v>22</v>
      </c>
      <c r="I425">
        <v>1</v>
      </c>
      <c r="J425">
        <v>1</v>
      </c>
      <c r="K425">
        <v>0</v>
      </c>
    </row>
    <row r="426" spans="1:11" x14ac:dyDescent="0.15">
      <c r="A426" t="s">
        <v>184</v>
      </c>
      <c r="B426" t="s">
        <v>432</v>
      </c>
      <c r="C426" t="s">
        <v>1035</v>
      </c>
      <c r="D426" t="s">
        <v>1036</v>
      </c>
      <c r="E426" t="s">
        <v>1037</v>
      </c>
      <c r="F426" t="s">
        <v>21</v>
      </c>
      <c r="G426" t="s">
        <v>21</v>
      </c>
      <c r="H426" t="s">
        <v>22</v>
      </c>
      <c r="I426">
        <v>1</v>
      </c>
      <c r="J426">
        <v>1</v>
      </c>
      <c r="K426">
        <v>0</v>
      </c>
    </row>
    <row r="427" spans="1:11" x14ac:dyDescent="0.15">
      <c r="A427" t="s">
        <v>15</v>
      </c>
      <c r="B427" t="s">
        <v>1038</v>
      </c>
      <c r="C427" t="s">
        <v>1039</v>
      </c>
      <c r="D427" t="s">
        <v>1040</v>
      </c>
      <c r="E427" t="s">
        <v>1041</v>
      </c>
      <c r="F427" t="s">
        <v>21</v>
      </c>
      <c r="G427" t="s">
        <v>21</v>
      </c>
      <c r="H427" t="s">
        <v>22</v>
      </c>
      <c r="I427">
        <v>1</v>
      </c>
      <c r="J427">
        <v>1</v>
      </c>
      <c r="K427">
        <v>0</v>
      </c>
    </row>
    <row r="428" spans="1:11" x14ac:dyDescent="0.15">
      <c r="A428" t="s">
        <v>15</v>
      </c>
      <c r="B428" t="s">
        <v>53</v>
      </c>
      <c r="C428" t="s">
        <v>1042</v>
      </c>
      <c r="D428" t="s">
        <v>1043</v>
      </c>
      <c r="E428" t="s">
        <v>1044</v>
      </c>
      <c r="F428" t="s">
        <v>21</v>
      </c>
      <c r="G428" t="s">
        <v>21</v>
      </c>
      <c r="H428" t="s">
        <v>22</v>
      </c>
      <c r="I428">
        <v>1</v>
      </c>
      <c r="J428">
        <v>1</v>
      </c>
      <c r="K428">
        <v>0</v>
      </c>
    </row>
    <row r="429" spans="1:11" x14ac:dyDescent="0.15">
      <c r="A429" t="s">
        <v>184</v>
      </c>
      <c r="B429" t="s">
        <v>515</v>
      </c>
      <c r="C429" t="s">
        <v>195</v>
      </c>
      <c r="D429" t="s">
        <v>1045</v>
      </c>
      <c r="E429" t="s">
        <v>1046</v>
      </c>
      <c r="F429" t="s">
        <v>21</v>
      </c>
      <c r="G429" t="s">
        <v>21</v>
      </c>
      <c r="H429" t="s">
        <v>22</v>
      </c>
      <c r="I429">
        <v>15</v>
      </c>
      <c r="J429">
        <v>16</v>
      </c>
      <c r="K429">
        <v>1</v>
      </c>
    </row>
    <row r="430" spans="1:11" x14ac:dyDescent="0.15">
      <c r="A430" t="s">
        <v>184</v>
      </c>
      <c r="B430" t="s">
        <v>515</v>
      </c>
      <c r="C430" t="s">
        <v>195</v>
      </c>
      <c r="D430" t="s">
        <v>1047</v>
      </c>
      <c r="E430" t="s">
        <v>1048</v>
      </c>
      <c r="F430" t="s">
        <v>21</v>
      </c>
      <c r="G430" t="s">
        <v>21</v>
      </c>
      <c r="H430" t="s">
        <v>22</v>
      </c>
      <c r="I430">
        <v>5</v>
      </c>
      <c r="J430">
        <v>5</v>
      </c>
      <c r="K430">
        <v>0</v>
      </c>
    </row>
    <row r="431" spans="1:11" x14ac:dyDescent="0.15">
      <c r="A431" t="s">
        <v>184</v>
      </c>
      <c r="B431" t="s">
        <v>515</v>
      </c>
      <c r="C431" t="s">
        <v>195</v>
      </c>
      <c r="D431" t="s">
        <v>1049</v>
      </c>
      <c r="E431" t="s">
        <v>1050</v>
      </c>
      <c r="F431" t="s">
        <v>21</v>
      </c>
      <c r="G431" t="s">
        <v>21</v>
      </c>
      <c r="H431" t="s">
        <v>22</v>
      </c>
      <c r="I431">
        <v>6</v>
      </c>
      <c r="J431">
        <v>6</v>
      </c>
      <c r="K431">
        <v>0</v>
      </c>
    </row>
    <row r="432" spans="1:11" x14ac:dyDescent="0.15">
      <c r="A432" t="s">
        <v>184</v>
      </c>
      <c r="B432" t="s">
        <v>515</v>
      </c>
      <c r="C432" t="s">
        <v>195</v>
      </c>
      <c r="D432" t="s">
        <v>1051</v>
      </c>
      <c r="E432" t="s">
        <v>1052</v>
      </c>
      <c r="F432" t="s">
        <v>21</v>
      </c>
      <c r="G432" t="s">
        <v>21</v>
      </c>
      <c r="H432" t="s">
        <v>22</v>
      </c>
      <c r="I432">
        <v>5</v>
      </c>
      <c r="J432">
        <v>5</v>
      </c>
      <c r="K432">
        <v>0</v>
      </c>
    </row>
    <row r="433" spans="1:11" x14ac:dyDescent="0.15">
      <c r="A433" t="s">
        <v>184</v>
      </c>
      <c r="B433" t="s">
        <v>515</v>
      </c>
      <c r="C433" t="s">
        <v>195</v>
      </c>
      <c r="D433" t="s">
        <v>1053</v>
      </c>
      <c r="E433" t="s">
        <v>1054</v>
      </c>
      <c r="F433" t="s">
        <v>21</v>
      </c>
      <c r="G433" t="s">
        <v>21</v>
      </c>
      <c r="H433" t="s">
        <v>22</v>
      </c>
      <c r="I433">
        <v>5</v>
      </c>
      <c r="J433">
        <v>5</v>
      </c>
      <c r="K433">
        <v>0</v>
      </c>
    </row>
    <row r="434" spans="1:11" x14ac:dyDescent="0.15">
      <c r="A434" t="s">
        <v>15</v>
      </c>
      <c r="B434" t="s">
        <v>100</v>
      </c>
      <c r="C434" t="s">
        <v>104</v>
      </c>
      <c r="D434" t="s">
        <v>1055</v>
      </c>
      <c r="E434" t="s">
        <v>1056</v>
      </c>
      <c r="F434" t="s">
        <v>21</v>
      </c>
      <c r="G434" t="s">
        <v>21</v>
      </c>
      <c r="H434" t="s">
        <v>22</v>
      </c>
      <c r="I434">
        <v>1</v>
      </c>
      <c r="J434">
        <v>1</v>
      </c>
      <c r="K434">
        <v>0</v>
      </c>
    </row>
    <row r="435" spans="1:11" x14ac:dyDescent="0.15">
      <c r="A435" t="s">
        <v>184</v>
      </c>
      <c r="B435" t="s">
        <v>623</v>
      </c>
      <c r="C435" t="s">
        <v>830</v>
      </c>
      <c r="D435" t="s">
        <v>1057</v>
      </c>
      <c r="E435" t="s">
        <v>1058</v>
      </c>
      <c r="F435" t="s">
        <v>21</v>
      </c>
      <c r="G435" t="s">
        <v>21</v>
      </c>
      <c r="H435" t="s">
        <v>22</v>
      </c>
      <c r="I435">
        <v>1</v>
      </c>
      <c r="J435">
        <v>1</v>
      </c>
      <c r="K435">
        <v>0</v>
      </c>
    </row>
    <row r="436" spans="1:11" x14ac:dyDescent="0.15">
      <c r="A436" t="s">
        <v>184</v>
      </c>
      <c r="B436" t="s">
        <v>185</v>
      </c>
      <c r="C436" t="s">
        <v>1059</v>
      </c>
      <c r="D436" t="s">
        <v>1060</v>
      </c>
      <c r="E436" t="s">
        <v>1061</v>
      </c>
      <c r="F436" t="s">
        <v>21</v>
      </c>
      <c r="G436" t="s">
        <v>21</v>
      </c>
      <c r="H436" t="s">
        <v>22</v>
      </c>
      <c r="I436">
        <v>9</v>
      </c>
      <c r="J436">
        <v>9</v>
      </c>
      <c r="K436">
        <v>0</v>
      </c>
    </row>
    <row r="437" spans="1:11" x14ac:dyDescent="0.15">
      <c r="A437" t="s">
        <v>184</v>
      </c>
      <c r="B437" t="s">
        <v>185</v>
      </c>
      <c r="C437" t="s">
        <v>1059</v>
      </c>
      <c r="D437" t="s">
        <v>1062</v>
      </c>
      <c r="E437" t="s">
        <v>1063</v>
      </c>
      <c r="F437" t="s">
        <v>21</v>
      </c>
      <c r="G437" t="s">
        <v>21</v>
      </c>
      <c r="H437" t="s">
        <v>22</v>
      </c>
      <c r="I437">
        <v>11</v>
      </c>
      <c r="J437">
        <v>11</v>
      </c>
      <c r="K437">
        <v>0</v>
      </c>
    </row>
    <row r="438" spans="1:11" x14ac:dyDescent="0.15">
      <c r="A438" t="s">
        <v>184</v>
      </c>
      <c r="B438" t="s">
        <v>515</v>
      </c>
      <c r="C438" t="s">
        <v>1059</v>
      </c>
      <c r="D438" t="s">
        <v>1064</v>
      </c>
      <c r="E438" t="s">
        <v>1065</v>
      </c>
      <c r="F438" t="s">
        <v>21</v>
      </c>
      <c r="G438" t="s">
        <v>21</v>
      </c>
      <c r="H438" t="s">
        <v>22</v>
      </c>
      <c r="I438">
        <v>1</v>
      </c>
      <c r="J438">
        <v>1</v>
      </c>
      <c r="K438">
        <v>0</v>
      </c>
    </row>
    <row r="439" spans="1:11" x14ac:dyDescent="0.15">
      <c r="A439" t="s">
        <v>184</v>
      </c>
      <c r="B439" t="s">
        <v>185</v>
      </c>
      <c r="C439" t="s">
        <v>1059</v>
      </c>
      <c r="D439" t="s">
        <v>1066</v>
      </c>
      <c r="E439" t="s">
        <v>1067</v>
      </c>
      <c r="F439" t="s">
        <v>21</v>
      </c>
      <c r="G439" t="s">
        <v>21</v>
      </c>
      <c r="H439" t="s">
        <v>22</v>
      </c>
      <c r="I439">
        <v>11</v>
      </c>
      <c r="J439">
        <v>11</v>
      </c>
      <c r="K439">
        <v>0</v>
      </c>
    </row>
    <row r="440" spans="1:11" x14ac:dyDescent="0.15">
      <c r="A440" t="s">
        <v>184</v>
      </c>
      <c r="B440" t="s">
        <v>185</v>
      </c>
      <c r="C440" t="s">
        <v>1059</v>
      </c>
      <c r="D440" t="s">
        <v>1068</v>
      </c>
      <c r="E440" t="s">
        <v>1069</v>
      </c>
      <c r="F440" t="s">
        <v>21</v>
      </c>
      <c r="G440" t="s">
        <v>21</v>
      </c>
      <c r="H440" t="s">
        <v>22</v>
      </c>
      <c r="I440">
        <v>11</v>
      </c>
      <c r="J440">
        <v>11</v>
      </c>
      <c r="K440">
        <v>0</v>
      </c>
    </row>
    <row r="441" spans="1:11" x14ac:dyDescent="0.15">
      <c r="A441" t="s">
        <v>15</v>
      </c>
      <c r="B441" t="s">
        <v>443</v>
      </c>
      <c r="C441" t="s">
        <v>1059</v>
      </c>
      <c r="D441" t="s">
        <v>1070</v>
      </c>
      <c r="E441" t="s">
        <v>1071</v>
      </c>
      <c r="F441" t="s">
        <v>21</v>
      </c>
      <c r="G441" t="s">
        <v>21</v>
      </c>
      <c r="H441" t="s">
        <v>22</v>
      </c>
      <c r="I441">
        <v>1</v>
      </c>
      <c r="J441">
        <v>1</v>
      </c>
      <c r="K441">
        <v>0</v>
      </c>
    </row>
    <row r="442" spans="1:11" x14ac:dyDescent="0.15">
      <c r="A442" t="s">
        <v>184</v>
      </c>
      <c r="B442" t="s">
        <v>763</v>
      </c>
      <c r="C442" t="s">
        <v>1059</v>
      </c>
      <c r="D442" t="s">
        <v>1072</v>
      </c>
      <c r="E442" t="s">
        <v>1073</v>
      </c>
      <c r="F442" t="s">
        <v>21</v>
      </c>
      <c r="G442" t="s">
        <v>21</v>
      </c>
      <c r="H442" t="s">
        <v>22</v>
      </c>
      <c r="I442">
        <v>7</v>
      </c>
      <c r="J442">
        <v>7</v>
      </c>
      <c r="K442">
        <v>0</v>
      </c>
    </row>
    <row r="443" spans="1:11" x14ac:dyDescent="0.15">
      <c r="A443" t="s">
        <v>184</v>
      </c>
      <c r="B443" t="s">
        <v>432</v>
      </c>
      <c r="C443" t="s">
        <v>1059</v>
      </c>
      <c r="D443" t="s">
        <v>1074</v>
      </c>
      <c r="E443" t="s">
        <v>1075</v>
      </c>
      <c r="F443" t="s">
        <v>21</v>
      </c>
      <c r="G443" t="s">
        <v>21</v>
      </c>
      <c r="H443" t="s">
        <v>22</v>
      </c>
      <c r="I443">
        <v>4</v>
      </c>
      <c r="J443">
        <v>4</v>
      </c>
      <c r="K443">
        <v>0</v>
      </c>
    </row>
    <row r="444" spans="1:11" x14ac:dyDescent="0.15">
      <c r="A444" t="s">
        <v>184</v>
      </c>
      <c r="B444" t="s">
        <v>185</v>
      </c>
      <c r="C444" t="s">
        <v>1059</v>
      </c>
      <c r="D444" t="s">
        <v>1076</v>
      </c>
      <c r="E444" t="s">
        <v>1077</v>
      </c>
      <c r="F444" t="s">
        <v>21</v>
      </c>
      <c r="G444" t="s">
        <v>21</v>
      </c>
      <c r="H444" t="s">
        <v>22</v>
      </c>
      <c r="I444">
        <v>10</v>
      </c>
      <c r="J444">
        <v>10</v>
      </c>
      <c r="K444">
        <v>0</v>
      </c>
    </row>
    <row r="445" spans="1:11" x14ac:dyDescent="0.15">
      <c r="A445" t="s">
        <v>184</v>
      </c>
      <c r="B445" t="s">
        <v>185</v>
      </c>
      <c r="C445" t="s">
        <v>1059</v>
      </c>
      <c r="D445" t="s">
        <v>1078</v>
      </c>
      <c r="E445" t="s">
        <v>1079</v>
      </c>
      <c r="F445" t="s">
        <v>21</v>
      </c>
      <c r="G445" t="s">
        <v>21</v>
      </c>
      <c r="H445" t="s">
        <v>22</v>
      </c>
      <c r="I445">
        <v>2</v>
      </c>
      <c r="J445">
        <v>2</v>
      </c>
      <c r="K445">
        <v>0</v>
      </c>
    </row>
    <row r="446" spans="1:11" x14ac:dyDescent="0.15">
      <c r="A446" t="s">
        <v>15</v>
      </c>
      <c r="B446" t="s">
        <v>29</v>
      </c>
      <c r="C446" t="s">
        <v>1059</v>
      </c>
      <c r="D446" t="s">
        <v>1080</v>
      </c>
      <c r="E446" t="s">
        <v>1081</v>
      </c>
      <c r="F446" t="s">
        <v>21</v>
      </c>
      <c r="G446" t="s">
        <v>21</v>
      </c>
      <c r="H446" t="s">
        <v>22</v>
      </c>
      <c r="I446">
        <v>1</v>
      </c>
      <c r="J446">
        <v>1</v>
      </c>
      <c r="K446">
        <v>0</v>
      </c>
    </row>
    <row r="447" spans="1:11" x14ac:dyDescent="0.15">
      <c r="A447" t="s">
        <v>15</v>
      </c>
      <c r="B447" t="s">
        <v>566</v>
      </c>
      <c r="C447" t="s">
        <v>1059</v>
      </c>
      <c r="D447" t="s">
        <v>1082</v>
      </c>
      <c r="E447" t="s">
        <v>1083</v>
      </c>
      <c r="F447" t="s">
        <v>21</v>
      </c>
      <c r="G447" t="s">
        <v>21</v>
      </c>
      <c r="H447" t="s">
        <v>22</v>
      </c>
      <c r="I447">
        <v>3</v>
      </c>
      <c r="J447">
        <v>8</v>
      </c>
      <c r="K447">
        <v>5</v>
      </c>
    </row>
    <row r="448" spans="1:11" x14ac:dyDescent="0.15">
      <c r="A448" t="s">
        <v>184</v>
      </c>
      <c r="B448" t="s">
        <v>185</v>
      </c>
      <c r="C448" t="s">
        <v>1059</v>
      </c>
      <c r="D448" t="s">
        <v>1084</v>
      </c>
      <c r="E448" t="s">
        <v>1085</v>
      </c>
      <c r="F448" t="s">
        <v>21</v>
      </c>
      <c r="G448" t="s">
        <v>21</v>
      </c>
      <c r="H448" t="s">
        <v>22</v>
      </c>
      <c r="I448">
        <v>1</v>
      </c>
      <c r="J448">
        <v>1</v>
      </c>
      <c r="K448">
        <v>0</v>
      </c>
    </row>
    <row r="449" spans="1:11" x14ac:dyDescent="0.15">
      <c r="A449" t="s">
        <v>184</v>
      </c>
      <c r="B449" t="s">
        <v>185</v>
      </c>
      <c r="C449" t="s">
        <v>1059</v>
      </c>
      <c r="D449" t="s">
        <v>1086</v>
      </c>
      <c r="E449" t="s">
        <v>1087</v>
      </c>
      <c r="F449" t="s">
        <v>21</v>
      </c>
      <c r="G449" t="s">
        <v>21</v>
      </c>
      <c r="H449" t="s">
        <v>22</v>
      </c>
      <c r="I449">
        <v>1</v>
      </c>
      <c r="J449">
        <v>1</v>
      </c>
      <c r="K449">
        <v>0</v>
      </c>
    </row>
    <row r="450" spans="1:11" x14ac:dyDescent="0.15">
      <c r="A450" t="s">
        <v>184</v>
      </c>
      <c r="B450" t="s">
        <v>185</v>
      </c>
      <c r="C450" t="s">
        <v>1059</v>
      </c>
      <c r="D450" t="s">
        <v>1088</v>
      </c>
      <c r="E450" t="s">
        <v>1089</v>
      </c>
      <c r="F450" t="s">
        <v>21</v>
      </c>
      <c r="G450" t="s">
        <v>21</v>
      </c>
      <c r="H450" t="s">
        <v>22</v>
      </c>
      <c r="I450">
        <v>3</v>
      </c>
      <c r="J450">
        <v>3</v>
      </c>
      <c r="K450">
        <v>0</v>
      </c>
    </row>
    <row r="451" spans="1:11" x14ac:dyDescent="0.15">
      <c r="A451" t="s">
        <v>184</v>
      </c>
      <c r="B451" t="s">
        <v>185</v>
      </c>
      <c r="C451" t="s">
        <v>1059</v>
      </c>
      <c r="D451" t="s">
        <v>1090</v>
      </c>
      <c r="E451" t="s">
        <v>1091</v>
      </c>
      <c r="F451" t="s">
        <v>21</v>
      </c>
      <c r="G451" t="s">
        <v>21</v>
      </c>
      <c r="H451" t="s">
        <v>22</v>
      </c>
      <c r="I451">
        <v>2</v>
      </c>
      <c r="J451">
        <v>2</v>
      </c>
      <c r="K451">
        <v>0</v>
      </c>
    </row>
    <row r="452" spans="1:11" x14ac:dyDescent="0.15">
      <c r="A452" t="s">
        <v>184</v>
      </c>
      <c r="B452" t="s">
        <v>185</v>
      </c>
      <c r="C452" t="s">
        <v>1059</v>
      </c>
      <c r="D452" t="s">
        <v>1092</v>
      </c>
      <c r="E452" t="s">
        <v>1093</v>
      </c>
      <c r="F452" t="s">
        <v>21</v>
      </c>
      <c r="G452" t="s">
        <v>21</v>
      </c>
      <c r="H452" t="s">
        <v>22</v>
      </c>
      <c r="I452">
        <v>18</v>
      </c>
      <c r="J452">
        <v>18</v>
      </c>
      <c r="K452">
        <v>0</v>
      </c>
    </row>
    <row r="453" spans="1:11" x14ac:dyDescent="0.15">
      <c r="A453" t="s">
        <v>184</v>
      </c>
      <c r="B453" t="s">
        <v>185</v>
      </c>
      <c r="C453" t="s">
        <v>1059</v>
      </c>
      <c r="D453" t="s">
        <v>1094</v>
      </c>
      <c r="E453" t="s">
        <v>1095</v>
      </c>
      <c r="F453" t="s">
        <v>21</v>
      </c>
      <c r="G453" t="s">
        <v>21</v>
      </c>
      <c r="H453" t="s">
        <v>22</v>
      </c>
      <c r="I453">
        <v>6</v>
      </c>
      <c r="J453">
        <v>6</v>
      </c>
      <c r="K453">
        <v>0</v>
      </c>
    </row>
    <row r="454" spans="1:11" x14ac:dyDescent="0.15">
      <c r="A454" t="s">
        <v>15</v>
      </c>
      <c r="B454" t="s">
        <v>676</v>
      </c>
      <c r="C454" t="s">
        <v>1059</v>
      </c>
      <c r="D454" t="s">
        <v>1096</v>
      </c>
      <c r="E454" t="s">
        <v>1097</v>
      </c>
      <c r="F454" t="s">
        <v>21</v>
      </c>
      <c r="G454" t="s">
        <v>21</v>
      </c>
      <c r="H454" t="s">
        <v>22</v>
      </c>
      <c r="I454">
        <v>0</v>
      </c>
      <c r="J454">
        <v>2</v>
      </c>
      <c r="K454">
        <v>2</v>
      </c>
    </row>
    <row r="455" spans="1:11" x14ac:dyDescent="0.15">
      <c r="A455" t="s">
        <v>184</v>
      </c>
      <c r="B455" t="s">
        <v>185</v>
      </c>
      <c r="C455" t="s">
        <v>1059</v>
      </c>
      <c r="D455" t="s">
        <v>1098</v>
      </c>
      <c r="E455" t="s">
        <v>1099</v>
      </c>
      <c r="F455" t="s">
        <v>21</v>
      </c>
      <c r="G455" t="s">
        <v>21</v>
      </c>
      <c r="H455" t="s">
        <v>22</v>
      </c>
      <c r="I455">
        <v>1</v>
      </c>
      <c r="J455">
        <v>1</v>
      </c>
      <c r="K455">
        <v>0</v>
      </c>
    </row>
    <row r="456" spans="1:11" x14ac:dyDescent="0.15">
      <c r="A456" t="s">
        <v>184</v>
      </c>
      <c r="B456" t="s">
        <v>185</v>
      </c>
      <c r="C456" t="s">
        <v>1059</v>
      </c>
      <c r="D456" t="s">
        <v>1100</v>
      </c>
      <c r="E456" t="s">
        <v>1101</v>
      </c>
      <c r="F456" t="s">
        <v>21</v>
      </c>
      <c r="G456" t="s">
        <v>21</v>
      </c>
      <c r="H456" t="s">
        <v>22</v>
      </c>
      <c r="I456">
        <v>1</v>
      </c>
      <c r="J456">
        <v>1</v>
      </c>
      <c r="K456">
        <v>0</v>
      </c>
    </row>
    <row r="457" spans="1:11" x14ac:dyDescent="0.15">
      <c r="A457" t="s">
        <v>184</v>
      </c>
      <c r="B457" t="s">
        <v>515</v>
      </c>
      <c r="C457" t="s">
        <v>1059</v>
      </c>
      <c r="D457" t="s">
        <v>1102</v>
      </c>
      <c r="E457" t="s">
        <v>1103</v>
      </c>
      <c r="F457" t="s">
        <v>21</v>
      </c>
      <c r="G457" t="s">
        <v>21</v>
      </c>
      <c r="H457" t="s">
        <v>22</v>
      </c>
      <c r="I457">
        <v>0</v>
      </c>
      <c r="J457">
        <v>1</v>
      </c>
      <c r="K457">
        <v>1</v>
      </c>
    </row>
    <row r="458" spans="1:11" x14ac:dyDescent="0.15">
      <c r="A458" t="s">
        <v>184</v>
      </c>
      <c r="B458" t="s">
        <v>185</v>
      </c>
      <c r="C458" t="s">
        <v>1059</v>
      </c>
      <c r="D458" t="s">
        <v>1104</v>
      </c>
      <c r="E458" t="s">
        <v>1105</v>
      </c>
      <c r="F458" t="s">
        <v>21</v>
      </c>
      <c r="G458" t="s">
        <v>21</v>
      </c>
      <c r="H458" t="s">
        <v>22</v>
      </c>
      <c r="I458">
        <v>33</v>
      </c>
      <c r="J458">
        <v>33</v>
      </c>
      <c r="K458">
        <v>0</v>
      </c>
    </row>
    <row r="459" spans="1:11" x14ac:dyDescent="0.15">
      <c r="A459" t="s">
        <v>184</v>
      </c>
      <c r="B459" t="s">
        <v>185</v>
      </c>
      <c r="C459" t="s">
        <v>1059</v>
      </c>
      <c r="D459" t="s">
        <v>1106</v>
      </c>
      <c r="E459" t="s">
        <v>1107</v>
      </c>
      <c r="F459" t="s">
        <v>21</v>
      </c>
      <c r="G459" t="s">
        <v>21</v>
      </c>
      <c r="H459" t="s">
        <v>22</v>
      </c>
      <c r="I459">
        <v>32</v>
      </c>
      <c r="J459">
        <v>32</v>
      </c>
      <c r="K459">
        <v>0</v>
      </c>
    </row>
    <row r="460" spans="1:11" x14ac:dyDescent="0.15">
      <c r="A460" t="s">
        <v>15</v>
      </c>
      <c r="B460" t="s">
        <v>443</v>
      </c>
      <c r="C460" t="s">
        <v>1059</v>
      </c>
      <c r="D460" t="s">
        <v>1108</v>
      </c>
      <c r="E460" t="s">
        <v>1109</v>
      </c>
      <c r="F460" t="s">
        <v>21</v>
      </c>
      <c r="G460" t="s">
        <v>21</v>
      </c>
      <c r="H460" t="s">
        <v>22</v>
      </c>
      <c r="I460">
        <v>64</v>
      </c>
      <c r="J460">
        <v>70</v>
      </c>
      <c r="K460">
        <v>6</v>
      </c>
    </row>
    <row r="461" spans="1:11" x14ac:dyDescent="0.15">
      <c r="A461" t="s">
        <v>184</v>
      </c>
      <c r="B461" t="s">
        <v>185</v>
      </c>
      <c r="C461" t="s">
        <v>1059</v>
      </c>
      <c r="D461" t="s">
        <v>1110</v>
      </c>
      <c r="E461" t="s">
        <v>1111</v>
      </c>
      <c r="F461" t="s">
        <v>21</v>
      </c>
      <c r="G461" t="s">
        <v>21</v>
      </c>
      <c r="H461" t="s">
        <v>22</v>
      </c>
      <c r="I461">
        <v>1</v>
      </c>
      <c r="J461">
        <v>1</v>
      </c>
      <c r="K461">
        <v>0</v>
      </c>
    </row>
    <row r="462" spans="1:11" x14ac:dyDescent="0.15">
      <c r="A462" t="s">
        <v>184</v>
      </c>
      <c r="B462" t="s">
        <v>743</v>
      </c>
      <c r="C462" t="s">
        <v>1059</v>
      </c>
      <c r="D462" t="s">
        <v>1112</v>
      </c>
      <c r="E462" t="s">
        <v>1113</v>
      </c>
      <c r="F462" t="s">
        <v>21</v>
      </c>
      <c r="G462" t="s">
        <v>21</v>
      </c>
      <c r="H462" t="s">
        <v>22</v>
      </c>
      <c r="I462">
        <v>0</v>
      </c>
      <c r="J462">
        <v>1</v>
      </c>
      <c r="K462">
        <v>1</v>
      </c>
    </row>
    <row r="463" spans="1:11" x14ac:dyDescent="0.15">
      <c r="A463" t="s">
        <v>184</v>
      </c>
      <c r="B463" t="s">
        <v>185</v>
      </c>
      <c r="C463" t="s">
        <v>1059</v>
      </c>
      <c r="D463" t="s">
        <v>1114</v>
      </c>
      <c r="E463" t="s">
        <v>1115</v>
      </c>
      <c r="F463" t="s">
        <v>21</v>
      </c>
      <c r="G463" t="s">
        <v>21</v>
      </c>
      <c r="H463" t="s">
        <v>22</v>
      </c>
      <c r="I463">
        <v>1</v>
      </c>
      <c r="J463">
        <v>1</v>
      </c>
      <c r="K463">
        <v>0</v>
      </c>
    </row>
    <row r="464" spans="1:11" x14ac:dyDescent="0.15">
      <c r="A464" t="s">
        <v>15</v>
      </c>
      <c r="B464" t="s">
        <v>676</v>
      </c>
      <c r="C464" t="s">
        <v>1059</v>
      </c>
      <c r="D464" t="s">
        <v>1116</v>
      </c>
      <c r="E464" t="s">
        <v>1117</v>
      </c>
      <c r="F464" t="s">
        <v>21</v>
      </c>
      <c r="G464" t="s">
        <v>21</v>
      </c>
      <c r="H464" t="s">
        <v>22</v>
      </c>
      <c r="I464">
        <v>0</v>
      </c>
      <c r="J464">
        <v>2</v>
      </c>
      <c r="K464">
        <v>2</v>
      </c>
    </row>
    <row r="465" spans="1:11" x14ac:dyDescent="0.15">
      <c r="A465" t="s">
        <v>15</v>
      </c>
      <c r="B465" t="s">
        <v>676</v>
      </c>
      <c r="C465" t="s">
        <v>1059</v>
      </c>
      <c r="D465" t="s">
        <v>1118</v>
      </c>
      <c r="E465" t="s">
        <v>1119</v>
      </c>
      <c r="F465" t="s">
        <v>21</v>
      </c>
      <c r="G465" t="s">
        <v>21</v>
      </c>
      <c r="H465" t="s">
        <v>22</v>
      </c>
      <c r="I465">
        <v>0</v>
      </c>
      <c r="J465">
        <v>2</v>
      </c>
      <c r="K465">
        <v>2</v>
      </c>
    </row>
    <row r="466" spans="1:11" x14ac:dyDescent="0.15">
      <c r="A466" t="s">
        <v>184</v>
      </c>
      <c r="B466" t="s">
        <v>432</v>
      </c>
      <c r="C466" t="s">
        <v>1059</v>
      </c>
      <c r="D466" t="s">
        <v>1120</v>
      </c>
      <c r="E466" t="s">
        <v>1121</v>
      </c>
      <c r="F466" t="s">
        <v>21</v>
      </c>
      <c r="G466" t="s">
        <v>21</v>
      </c>
      <c r="H466" t="s">
        <v>22</v>
      </c>
      <c r="I466">
        <v>8</v>
      </c>
      <c r="J466">
        <v>8</v>
      </c>
      <c r="K466">
        <v>0</v>
      </c>
    </row>
    <row r="467" spans="1:11" x14ac:dyDescent="0.15">
      <c r="A467" t="s">
        <v>184</v>
      </c>
      <c r="B467" t="s">
        <v>763</v>
      </c>
      <c r="C467" t="s">
        <v>1059</v>
      </c>
      <c r="D467" t="s">
        <v>1122</v>
      </c>
      <c r="E467" t="s">
        <v>1123</v>
      </c>
      <c r="F467" t="s">
        <v>21</v>
      </c>
      <c r="G467" t="s">
        <v>21</v>
      </c>
      <c r="H467" t="s">
        <v>22</v>
      </c>
      <c r="I467">
        <v>4</v>
      </c>
      <c r="J467">
        <v>4</v>
      </c>
      <c r="K467">
        <v>0</v>
      </c>
    </row>
    <row r="468" spans="1:11" x14ac:dyDescent="0.15">
      <c r="A468" t="s">
        <v>184</v>
      </c>
      <c r="B468" t="s">
        <v>432</v>
      </c>
      <c r="C468" t="s">
        <v>1059</v>
      </c>
      <c r="D468" t="s">
        <v>1124</v>
      </c>
      <c r="E468" t="s">
        <v>1125</v>
      </c>
      <c r="F468" t="s">
        <v>21</v>
      </c>
      <c r="G468" t="s">
        <v>21</v>
      </c>
      <c r="H468" t="s">
        <v>22</v>
      </c>
      <c r="I468">
        <v>4</v>
      </c>
      <c r="J468">
        <v>4</v>
      </c>
      <c r="K468">
        <v>0</v>
      </c>
    </row>
    <row r="469" spans="1:11" x14ac:dyDescent="0.15">
      <c r="A469" t="s">
        <v>184</v>
      </c>
      <c r="B469" t="s">
        <v>185</v>
      </c>
      <c r="C469" t="s">
        <v>1059</v>
      </c>
      <c r="D469" t="s">
        <v>1126</v>
      </c>
      <c r="E469" t="s">
        <v>1127</v>
      </c>
      <c r="F469" t="s">
        <v>21</v>
      </c>
      <c r="G469" t="s">
        <v>21</v>
      </c>
      <c r="H469" t="s">
        <v>22</v>
      </c>
      <c r="I469">
        <v>4</v>
      </c>
      <c r="J469">
        <v>4</v>
      </c>
      <c r="K469">
        <v>0</v>
      </c>
    </row>
    <row r="470" spans="1:11" x14ac:dyDescent="0.15">
      <c r="A470" t="s">
        <v>184</v>
      </c>
      <c r="B470" t="s">
        <v>432</v>
      </c>
      <c r="C470" t="s">
        <v>1059</v>
      </c>
      <c r="D470" t="s">
        <v>1128</v>
      </c>
      <c r="E470" t="s">
        <v>1129</v>
      </c>
      <c r="F470" t="s">
        <v>21</v>
      </c>
      <c r="G470" t="s">
        <v>21</v>
      </c>
      <c r="H470" t="s">
        <v>22</v>
      </c>
      <c r="I470">
        <v>1</v>
      </c>
      <c r="J470">
        <v>1</v>
      </c>
      <c r="K470">
        <v>0</v>
      </c>
    </row>
    <row r="471" spans="1:11" x14ac:dyDescent="0.15">
      <c r="A471" t="s">
        <v>184</v>
      </c>
      <c r="B471" t="s">
        <v>763</v>
      </c>
      <c r="C471" t="s">
        <v>1059</v>
      </c>
      <c r="D471" t="s">
        <v>1130</v>
      </c>
      <c r="E471" t="s">
        <v>1131</v>
      </c>
      <c r="F471" t="s">
        <v>21</v>
      </c>
      <c r="G471" t="s">
        <v>21</v>
      </c>
      <c r="H471" t="s">
        <v>22</v>
      </c>
      <c r="I471">
        <v>2</v>
      </c>
      <c r="J471">
        <v>2</v>
      </c>
      <c r="K471">
        <v>0</v>
      </c>
    </row>
    <row r="472" spans="1:11" x14ac:dyDescent="0.15">
      <c r="A472" t="s">
        <v>184</v>
      </c>
      <c r="B472" t="s">
        <v>743</v>
      </c>
      <c r="C472" t="s">
        <v>1059</v>
      </c>
      <c r="D472" t="s">
        <v>1132</v>
      </c>
      <c r="E472" t="s">
        <v>1133</v>
      </c>
      <c r="F472" t="s">
        <v>21</v>
      </c>
      <c r="G472" t="s">
        <v>21</v>
      </c>
      <c r="H472" t="s">
        <v>22</v>
      </c>
      <c r="I472">
        <v>1</v>
      </c>
      <c r="J472">
        <v>1</v>
      </c>
      <c r="K472">
        <v>0</v>
      </c>
    </row>
    <row r="473" spans="1:11" x14ac:dyDescent="0.15">
      <c r="A473" t="s">
        <v>184</v>
      </c>
      <c r="B473" t="s">
        <v>185</v>
      </c>
      <c r="C473" t="s">
        <v>1059</v>
      </c>
      <c r="D473" t="s">
        <v>1134</v>
      </c>
      <c r="E473" t="s">
        <v>1135</v>
      </c>
      <c r="F473" t="s">
        <v>21</v>
      </c>
      <c r="G473" t="s">
        <v>21</v>
      </c>
      <c r="H473" t="s">
        <v>22</v>
      </c>
      <c r="I473">
        <v>3</v>
      </c>
      <c r="J473">
        <v>3</v>
      </c>
      <c r="K473">
        <v>0</v>
      </c>
    </row>
    <row r="474" spans="1:11" x14ac:dyDescent="0.15">
      <c r="A474" t="s">
        <v>15</v>
      </c>
      <c r="B474" t="s">
        <v>1136</v>
      </c>
      <c r="C474" t="s">
        <v>1059</v>
      </c>
      <c r="D474" t="s">
        <v>1137</v>
      </c>
      <c r="E474" t="s">
        <v>1138</v>
      </c>
      <c r="F474" t="s">
        <v>21</v>
      </c>
      <c r="G474" t="s">
        <v>21</v>
      </c>
      <c r="H474" t="s">
        <v>22</v>
      </c>
      <c r="I474">
        <v>1</v>
      </c>
      <c r="J474">
        <v>1</v>
      </c>
      <c r="K474">
        <v>0</v>
      </c>
    </row>
    <row r="475" spans="1:11" x14ac:dyDescent="0.15">
      <c r="A475" t="s">
        <v>184</v>
      </c>
      <c r="B475" t="s">
        <v>185</v>
      </c>
      <c r="C475" t="s">
        <v>791</v>
      </c>
      <c r="D475" t="s">
        <v>1139</v>
      </c>
      <c r="E475" t="s">
        <v>1140</v>
      </c>
      <c r="F475" t="s">
        <v>21</v>
      </c>
      <c r="G475" t="s">
        <v>21</v>
      </c>
      <c r="H475" t="s">
        <v>22</v>
      </c>
      <c r="I475">
        <v>10</v>
      </c>
      <c r="J475">
        <v>10</v>
      </c>
      <c r="K475">
        <v>0</v>
      </c>
    </row>
    <row r="476" spans="1:11" x14ac:dyDescent="0.15">
      <c r="A476" t="s">
        <v>184</v>
      </c>
      <c r="B476" t="s">
        <v>432</v>
      </c>
      <c r="C476" t="s">
        <v>195</v>
      </c>
      <c r="D476" t="s">
        <v>1141</v>
      </c>
      <c r="E476" t="s">
        <v>1142</v>
      </c>
      <c r="F476" t="s">
        <v>21</v>
      </c>
      <c r="G476" t="s">
        <v>21</v>
      </c>
      <c r="H476" t="s">
        <v>22</v>
      </c>
      <c r="I476">
        <v>1</v>
      </c>
      <c r="J476">
        <v>1</v>
      </c>
      <c r="K476">
        <v>0</v>
      </c>
    </row>
    <row r="477" spans="1:11" x14ac:dyDescent="0.15">
      <c r="A477" t="s">
        <v>184</v>
      </c>
      <c r="B477" t="s">
        <v>432</v>
      </c>
      <c r="C477" t="s">
        <v>195</v>
      </c>
      <c r="D477" t="s">
        <v>1143</v>
      </c>
      <c r="E477" t="s">
        <v>1144</v>
      </c>
      <c r="F477" t="s">
        <v>21</v>
      </c>
      <c r="G477" t="s">
        <v>21</v>
      </c>
      <c r="H477" t="s">
        <v>22</v>
      </c>
      <c r="I477">
        <v>3</v>
      </c>
      <c r="J477">
        <v>3</v>
      </c>
      <c r="K477">
        <v>0</v>
      </c>
    </row>
    <row r="478" spans="1:11" x14ac:dyDescent="0.15">
      <c r="A478" t="s">
        <v>184</v>
      </c>
      <c r="B478" t="s">
        <v>432</v>
      </c>
      <c r="C478" t="s">
        <v>195</v>
      </c>
      <c r="D478" t="s">
        <v>1145</v>
      </c>
      <c r="E478" t="s">
        <v>1146</v>
      </c>
      <c r="F478" t="s">
        <v>21</v>
      </c>
      <c r="G478" t="s">
        <v>21</v>
      </c>
      <c r="H478" t="s">
        <v>22</v>
      </c>
      <c r="I478">
        <v>1</v>
      </c>
      <c r="J478">
        <v>1</v>
      </c>
      <c r="K478">
        <v>0</v>
      </c>
    </row>
    <row r="479" spans="1:11" x14ac:dyDescent="0.15">
      <c r="A479" t="s">
        <v>184</v>
      </c>
      <c r="B479" t="s">
        <v>185</v>
      </c>
      <c r="C479" t="s">
        <v>791</v>
      </c>
      <c r="D479" t="s">
        <v>1147</v>
      </c>
      <c r="E479" t="s">
        <v>1148</v>
      </c>
      <c r="F479" t="s">
        <v>21</v>
      </c>
      <c r="G479" t="s">
        <v>21</v>
      </c>
      <c r="H479" t="s">
        <v>22</v>
      </c>
      <c r="I479">
        <v>10</v>
      </c>
      <c r="J479">
        <v>10</v>
      </c>
      <c r="K479">
        <v>0</v>
      </c>
    </row>
    <row r="480" spans="1:11" x14ac:dyDescent="0.15">
      <c r="A480" t="s">
        <v>184</v>
      </c>
      <c r="B480" t="s">
        <v>432</v>
      </c>
      <c r="C480" t="s">
        <v>195</v>
      </c>
      <c r="D480" t="s">
        <v>1149</v>
      </c>
      <c r="E480" t="s">
        <v>1150</v>
      </c>
      <c r="F480" t="s">
        <v>21</v>
      </c>
      <c r="G480" t="s">
        <v>21</v>
      </c>
      <c r="H480" t="s">
        <v>22</v>
      </c>
      <c r="I480">
        <v>2</v>
      </c>
      <c r="J480">
        <v>2</v>
      </c>
      <c r="K480">
        <v>0</v>
      </c>
    </row>
    <row r="481" spans="1:11" x14ac:dyDescent="0.15">
      <c r="A481" t="s">
        <v>184</v>
      </c>
      <c r="B481" t="s">
        <v>432</v>
      </c>
      <c r="C481" t="s">
        <v>808</v>
      </c>
      <c r="D481" t="s">
        <v>1151</v>
      </c>
      <c r="E481" t="s">
        <v>1152</v>
      </c>
      <c r="F481" t="s">
        <v>21</v>
      </c>
      <c r="G481" t="s">
        <v>21</v>
      </c>
      <c r="H481" t="s">
        <v>22</v>
      </c>
      <c r="I481">
        <v>0</v>
      </c>
      <c r="J481">
        <v>2</v>
      </c>
      <c r="K481">
        <v>2</v>
      </c>
    </row>
    <row r="482" spans="1:11" x14ac:dyDescent="0.15">
      <c r="A482" t="s">
        <v>184</v>
      </c>
      <c r="B482" t="s">
        <v>432</v>
      </c>
      <c r="C482" t="s">
        <v>808</v>
      </c>
      <c r="D482" t="s">
        <v>1153</v>
      </c>
      <c r="E482" t="s">
        <v>1154</v>
      </c>
      <c r="F482" t="s">
        <v>21</v>
      </c>
      <c r="G482" t="s">
        <v>21</v>
      </c>
      <c r="H482" t="s">
        <v>22</v>
      </c>
      <c r="I482">
        <v>2</v>
      </c>
      <c r="J482">
        <v>2</v>
      </c>
      <c r="K482">
        <v>0</v>
      </c>
    </row>
    <row r="483" spans="1:11" x14ac:dyDescent="0.15">
      <c r="A483" t="s">
        <v>184</v>
      </c>
      <c r="B483" t="s">
        <v>432</v>
      </c>
      <c r="C483" t="s">
        <v>808</v>
      </c>
      <c r="D483" t="s">
        <v>1155</v>
      </c>
      <c r="E483" t="s">
        <v>1156</v>
      </c>
      <c r="F483" t="s">
        <v>21</v>
      </c>
      <c r="G483" t="s">
        <v>21</v>
      </c>
      <c r="H483" t="s">
        <v>22</v>
      </c>
      <c r="I483">
        <v>3</v>
      </c>
      <c r="J483">
        <v>3</v>
      </c>
      <c r="K483">
        <v>0</v>
      </c>
    </row>
    <row r="484" spans="1:11" x14ac:dyDescent="0.15">
      <c r="A484" t="s">
        <v>184</v>
      </c>
      <c r="B484" t="s">
        <v>432</v>
      </c>
      <c r="C484" t="s">
        <v>808</v>
      </c>
      <c r="D484" t="s">
        <v>1157</v>
      </c>
      <c r="E484" t="s">
        <v>1158</v>
      </c>
      <c r="F484" t="s">
        <v>21</v>
      </c>
      <c r="G484" t="s">
        <v>21</v>
      </c>
      <c r="H484" t="s">
        <v>22</v>
      </c>
      <c r="I484">
        <v>3</v>
      </c>
      <c r="J484">
        <v>3</v>
      </c>
      <c r="K484">
        <v>0</v>
      </c>
    </row>
    <row r="485" spans="1:11" x14ac:dyDescent="0.15">
      <c r="A485" t="s">
        <v>184</v>
      </c>
      <c r="B485" t="s">
        <v>904</v>
      </c>
      <c r="C485" t="s">
        <v>808</v>
      </c>
      <c r="D485" t="s">
        <v>1159</v>
      </c>
      <c r="E485" t="s">
        <v>1160</v>
      </c>
      <c r="F485" t="s">
        <v>21</v>
      </c>
      <c r="G485" t="s">
        <v>21</v>
      </c>
      <c r="H485" t="s">
        <v>22</v>
      </c>
      <c r="I485">
        <v>2</v>
      </c>
      <c r="J485">
        <v>2</v>
      </c>
      <c r="K485">
        <v>0</v>
      </c>
    </row>
    <row r="486" spans="1:11" x14ac:dyDescent="0.15">
      <c r="A486" t="s">
        <v>184</v>
      </c>
      <c r="B486" t="s">
        <v>904</v>
      </c>
      <c r="C486" t="s">
        <v>808</v>
      </c>
      <c r="D486" t="s">
        <v>1161</v>
      </c>
      <c r="E486" t="s">
        <v>1162</v>
      </c>
      <c r="F486" t="s">
        <v>21</v>
      </c>
      <c r="G486" t="s">
        <v>21</v>
      </c>
      <c r="H486" t="s">
        <v>22</v>
      </c>
      <c r="I486">
        <v>1</v>
      </c>
      <c r="J486">
        <v>1</v>
      </c>
      <c r="K486">
        <v>0</v>
      </c>
    </row>
    <row r="487" spans="1:11" x14ac:dyDescent="0.15">
      <c r="A487" t="s">
        <v>184</v>
      </c>
      <c r="B487" t="s">
        <v>432</v>
      </c>
      <c r="C487" t="s">
        <v>195</v>
      </c>
      <c r="D487" t="s">
        <v>1163</v>
      </c>
      <c r="E487" t="s">
        <v>1164</v>
      </c>
      <c r="F487" t="s">
        <v>21</v>
      </c>
      <c r="G487" t="s">
        <v>21</v>
      </c>
      <c r="H487" t="s">
        <v>22</v>
      </c>
      <c r="I487">
        <v>0</v>
      </c>
      <c r="J487">
        <v>1</v>
      </c>
      <c r="K487">
        <v>1</v>
      </c>
    </row>
    <row r="488" spans="1:11" x14ac:dyDescent="0.15">
      <c r="A488" t="s">
        <v>184</v>
      </c>
      <c r="B488" t="s">
        <v>432</v>
      </c>
      <c r="C488" t="s">
        <v>195</v>
      </c>
      <c r="D488" t="s">
        <v>1165</v>
      </c>
      <c r="E488" t="s">
        <v>1166</v>
      </c>
      <c r="F488" t="s">
        <v>21</v>
      </c>
      <c r="G488" t="s">
        <v>21</v>
      </c>
      <c r="H488" t="s">
        <v>22</v>
      </c>
      <c r="I488">
        <v>4</v>
      </c>
      <c r="J488">
        <v>6</v>
      </c>
      <c r="K488">
        <v>2</v>
      </c>
    </row>
    <row r="489" spans="1:11" x14ac:dyDescent="0.15">
      <c r="A489" t="s">
        <v>184</v>
      </c>
      <c r="B489" t="s">
        <v>432</v>
      </c>
      <c r="C489" t="s">
        <v>195</v>
      </c>
      <c r="D489" t="s">
        <v>1167</v>
      </c>
      <c r="E489" t="s">
        <v>1168</v>
      </c>
      <c r="F489" t="s">
        <v>21</v>
      </c>
      <c r="G489" t="s">
        <v>21</v>
      </c>
      <c r="H489" t="s">
        <v>22</v>
      </c>
      <c r="I489">
        <v>6</v>
      </c>
      <c r="J489">
        <v>6</v>
      </c>
      <c r="K489">
        <v>0</v>
      </c>
    </row>
    <row r="490" spans="1:11" x14ac:dyDescent="0.15">
      <c r="A490" t="s">
        <v>184</v>
      </c>
      <c r="B490" t="s">
        <v>432</v>
      </c>
      <c r="C490" t="s">
        <v>195</v>
      </c>
      <c r="D490" t="s">
        <v>1169</v>
      </c>
      <c r="E490" t="s">
        <v>1168</v>
      </c>
      <c r="F490" t="s">
        <v>21</v>
      </c>
      <c r="G490" t="s">
        <v>21</v>
      </c>
      <c r="H490" t="s">
        <v>22</v>
      </c>
      <c r="I490">
        <v>6</v>
      </c>
      <c r="J490">
        <v>6</v>
      </c>
      <c r="K490">
        <v>0</v>
      </c>
    </row>
    <row r="491" spans="1:11" x14ac:dyDescent="0.15">
      <c r="A491" t="s">
        <v>184</v>
      </c>
      <c r="B491" t="s">
        <v>432</v>
      </c>
      <c r="C491" t="s">
        <v>195</v>
      </c>
      <c r="D491" t="s">
        <v>1170</v>
      </c>
      <c r="E491" t="s">
        <v>1171</v>
      </c>
      <c r="F491" t="s">
        <v>21</v>
      </c>
      <c r="G491" t="s">
        <v>21</v>
      </c>
      <c r="H491" t="s">
        <v>22</v>
      </c>
      <c r="I491">
        <v>12</v>
      </c>
      <c r="J491">
        <v>13</v>
      </c>
      <c r="K491">
        <v>1</v>
      </c>
    </row>
    <row r="492" spans="1:11" x14ac:dyDescent="0.15">
      <c r="A492" t="s">
        <v>184</v>
      </c>
      <c r="B492" t="s">
        <v>515</v>
      </c>
      <c r="C492" t="s">
        <v>195</v>
      </c>
      <c r="D492" t="s">
        <v>1172</v>
      </c>
      <c r="E492" t="s">
        <v>1173</v>
      </c>
      <c r="F492" t="s">
        <v>21</v>
      </c>
      <c r="G492" t="s">
        <v>21</v>
      </c>
      <c r="H492" t="s">
        <v>22</v>
      </c>
      <c r="I492">
        <v>4</v>
      </c>
      <c r="J492">
        <v>4</v>
      </c>
      <c r="K492">
        <v>0</v>
      </c>
    </row>
    <row r="493" spans="1:11" x14ac:dyDescent="0.15">
      <c r="A493" t="s">
        <v>184</v>
      </c>
      <c r="B493" t="s">
        <v>515</v>
      </c>
      <c r="C493" t="s">
        <v>1174</v>
      </c>
      <c r="D493" t="s">
        <v>1175</v>
      </c>
      <c r="E493" t="s">
        <v>1176</v>
      </c>
      <c r="F493" t="s">
        <v>21</v>
      </c>
      <c r="G493" t="s">
        <v>21</v>
      </c>
      <c r="H493" t="s">
        <v>22</v>
      </c>
      <c r="I493">
        <v>7</v>
      </c>
      <c r="J493">
        <v>7</v>
      </c>
      <c r="K493">
        <v>0</v>
      </c>
    </row>
    <row r="494" spans="1:11" x14ac:dyDescent="0.15">
      <c r="A494" t="s">
        <v>184</v>
      </c>
      <c r="B494" t="s">
        <v>515</v>
      </c>
      <c r="C494" t="s">
        <v>1174</v>
      </c>
      <c r="D494" t="s">
        <v>1177</v>
      </c>
      <c r="E494" t="s">
        <v>1176</v>
      </c>
      <c r="F494" t="s">
        <v>21</v>
      </c>
      <c r="G494" t="s">
        <v>21</v>
      </c>
      <c r="H494" t="s">
        <v>22</v>
      </c>
      <c r="I494">
        <v>4</v>
      </c>
      <c r="J494">
        <v>4</v>
      </c>
      <c r="K494">
        <v>0</v>
      </c>
    </row>
    <row r="495" spans="1:11" x14ac:dyDescent="0.15">
      <c r="A495" t="s">
        <v>15</v>
      </c>
      <c r="B495" t="s">
        <v>1178</v>
      </c>
      <c r="C495" t="s">
        <v>941</v>
      </c>
      <c r="D495" t="s">
        <v>1179</v>
      </c>
      <c r="E495" t="s">
        <v>1180</v>
      </c>
      <c r="F495" t="s">
        <v>21</v>
      </c>
      <c r="G495" t="s">
        <v>21</v>
      </c>
      <c r="H495" t="s">
        <v>22</v>
      </c>
      <c r="I495">
        <v>3</v>
      </c>
      <c r="J495">
        <v>3</v>
      </c>
      <c r="K495">
        <v>0</v>
      </c>
    </row>
    <row r="496" spans="1:11" x14ac:dyDescent="0.15">
      <c r="A496" t="s">
        <v>15</v>
      </c>
      <c r="B496" t="s">
        <v>1178</v>
      </c>
      <c r="C496" t="s">
        <v>941</v>
      </c>
      <c r="D496" t="s">
        <v>1181</v>
      </c>
      <c r="E496" t="s">
        <v>1182</v>
      </c>
      <c r="F496" t="s">
        <v>21</v>
      </c>
      <c r="G496" t="s">
        <v>21</v>
      </c>
      <c r="H496" t="s">
        <v>22</v>
      </c>
      <c r="I496">
        <v>1</v>
      </c>
      <c r="J496">
        <v>1</v>
      </c>
      <c r="K496">
        <v>0</v>
      </c>
    </row>
    <row r="497" spans="1:11" x14ac:dyDescent="0.15">
      <c r="A497" t="s">
        <v>15</v>
      </c>
      <c r="B497" t="s">
        <v>29</v>
      </c>
      <c r="C497" t="s">
        <v>941</v>
      </c>
      <c r="D497" t="s">
        <v>1183</v>
      </c>
      <c r="E497" t="s">
        <v>1184</v>
      </c>
      <c r="F497" t="s">
        <v>21</v>
      </c>
      <c r="G497" t="s">
        <v>21</v>
      </c>
      <c r="H497" t="s">
        <v>22</v>
      </c>
      <c r="I497">
        <v>0</v>
      </c>
      <c r="J497">
        <v>3</v>
      </c>
      <c r="K497">
        <v>3</v>
      </c>
    </row>
    <row r="498" spans="1:11" x14ac:dyDescent="0.15">
      <c r="A498" t="s">
        <v>15</v>
      </c>
      <c r="B498" t="s">
        <v>1185</v>
      </c>
      <c r="C498" t="s">
        <v>941</v>
      </c>
      <c r="D498" t="s">
        <v>1186</v>
      </c>
      <c r="E498" t="s">
        <v>1187</v>
      </c>
      <c r="F498" t="s">
        <v>21</v>
      </c>
      <c r="G498" t="s">
        <v>21</v>
      </c>
      <c r="H498" t="s">
        <v>22</v>
      </c>
      <c r="I498">
        <v>2</v>
      </c>
      <c r="J498">
        <v>2</v>
      </c>
      <c r="K498">
        <v>0</v>
      </c>
    </row>
    <row r="499" spans="1:11" x14ac:dyDescent="0.15">
      <c r="A499" t="s">
        <v>184</v>
      </c>
      <c r="B499" t="s">
        <v>763</v>
      </c>
      <c r="C499" t="s">
        <v>863</v>
      </c>
      <c r="D499" t="s">
        <v>1188</v>
      </c>
      <c r="E499" t="s">
        <v>1189</v>
      </c>
      <c r="F499" t="s">
        <v>21</v>
      </c>
      <c r="G499" t="s">
        <v>21</v>
      </c>
      <c r="H499" t="s">
        <v>22</v>
      </c>
      <c r="I499">
        <v>3</v>
      </c>
      <c r="J499">
        <v>3</v>
      </c>
      <c r="K499">
        <v>0</v>
      </c>
    </row>
    <row r="500" spans="1:11" x14ac:dyDescent="0.15">
      <c r="A500" t="s">
        <v>184</v>
      </c>
      <c r="B500" t="s">
        <v>743</v>
      </c>
      <c r="C500" t="s">
        <v>863</v>
      </c>
      <c r="D500" t="s">
        <v>1190</v>
      </c>
      <c r="E500" t="s">
        <v>1191</v>
      </c>
      <c r="F500" t="s">
        <v>21</v>
      </c>
      <c r="G500" t="s">
        <v>21</v>
      </c>
      <c r="H500" t="s">
        <v>22</v>
      </c>
      <c r="I500">
        <v>3</v>
      </c>
      <c r="J500">
        <v>3</v>
      </c>
      <c r="K500">
        <v>0</v>
      </c>
    </row>
    <row r="501" spans="1:11" x14ac:dyDescent="0.15">
      <c r="A501" t="s">
        <v>184</v>
      </c>
      <c r="B501" t="s">
        <v>743</v>
      </c>
      <c r="C501" t="s">
        <v>863</v>
      </c>
      <c r="D501" t="s">
        <v>1192</v>
      </c>
      <c r="E501" t="s">
        <v>1193</v>
      </c>
      <c r="F501" t="s">
        <v>21</v>
      </c>
      <c r="G501" t="s">
        <v>21</v>
      </c>
      <c r="H501" t="s">
        <v>22</v>
      </c>
      <c r="I501">
        <v>15</v>
      </c>
      <c r="J501">
        <v>15</v>
      </c>
      <c r="K501">
        <v>0</v>
      </c>
    </row>
    <row r="502" spans="1:11" x14ac:dyDescent="0.15">
      <c r="A502" t="s">
        <v>184</v>
      </c>
      <c r="B502" t="s">
        <v>763</v>
      </c>
      <c r="C502" t="s">
        <v>873</v>
      </c>
      <c r="D502" t="s">
        <v>1194</v>
      </c>
      <c r="E502" t="s">
        <v>1195</v>
      </c>
      <c r="F502" t="s">
        <v>21</v>
      </c>
      <c r="G502" t="s">
        <v>21</v>
      </c>
      <c r="H502" t="s">
        <v>22</v>
      </c>
      <c r="I502">
        <v>1</v>
      </c>
      <c r="J502">
        <v>1</v>
      </c>
      <c r="K502">
        <v>0</v>
      </c>
    </row>
    <row r="503" spans="1:11" x14ac:dyDescent="0.15">
      <c r="A503" t="s">
        <v>184</v>
      </c>
      <c r="B503" t="s">
        <v>743</v>
      </c>
      <c r="C503" t="s">
        <v>863</v>
      </c>
      <c r="D503" t="s">
        <v>1196</v>
      </c>
      <c r="E503" t="s">
        <v>1197</v>
      </c>
      <c r="F503" t="s">
        <v>21</v>
      </c>
      <c r="G503" t="s">
        <v>21</v>
      </c>
      <c r="H503" t="s">
        <v>22</v>
      </c>
      <c r="I503">
        <v>5</v>
      </c>
      <c r="J503">
        <v>5</v>
      </c>
      <c r="K503">
        <v>0</v>
      </c>
    </row>
    <row r="504" spans="1:11" x14ac:dyDescent="0.15">
      <c r="A504" t="s">
        <v>184</v>
      </c>
      <c r="B504" t="s">
        <v>743</v>
      </c>
      <c r="C504" t="s">
        <v>863</v>
      </c>
      <c r="D504" t="s">
        <v>1198</v>
      </c>
      <c r="E504" t="s">
        <v>1199</v>
      </c>
      <c r="F504" t="s">
        <v>21</v>
      </c>
      <c r="G504" t="s">
        <v>21</v>
      </c>
      <c r="H504" t="s">
        <v>22</v>
      </c>
      <c r="I504">
        <v>25</v>
      </c>
      <c r="J504">
        <v>25</v>
      </c>
      <c r="K504">
        <v>0</v>
      </c>
    </row>
    <row r="505" spans="1:11" x14ac:dyDescent="0.15">
      <c r="A505" t="s">
        <v>184</v>
      </c>
      <c r="B505" t="s">
        <v>515</v>
      </c>
      <c r="C505" t="s">
        <v>1174</v>
      </c>
      <c r="D505" t="s">
        <v>1200</v>
      </c>
      <c r="E505" t="s">
        <v>1201</v>
      </c>
      <c r="F505" t="s">
        <v>21</v>
      </c>
      <c r="G505" t="s">
        <v>21</v>
      </c>
      <c r="H505" t="s">
        <v>22</v>
      </c>
      <c r="I505">
        <v>1</v>
      </c>
      <c r="J505">
        <v>1</v>
      </c>
      <c r="K505">
        <v>0</v>
      </c>
    </row>
    <row r="506" spans="1:11" x14ac:dyDescent="0.15">
      <c r="A506" t="s">
        <v>15</v>
      </c>
      <c r="B506" t="s">
        <v>360</v>
      </c>
      <c r="C506" t="s">
        <v>1202</v>
      </c>
      <c r="D506" t="s">
        <v>1203</v>
      </c>
      <c r="E506" t="s">
        <v>1204</v>
      </c>
      <c r="F506" t="s">
        <v>21</v>
      </c>
      <c r="G506" t="s">
        <v>21</v>
      </c>
      <c r="H506" t="s">
        <v>22</v>
      </c>
      <c r="I506">
        <v>3</v>
      </c>
      <c r="J506">
        <v>3</v>
      </c>
      <c r="K506">
        <v>0</v>
      </c>
    </row>
    <row r="507" spans="1:11" x14ac:dyDescent="0.15">
      <c r="A507" t="s">
        <v>15</v>
      </c>
      <c r="B507" t="s">
        <v>360</v>
      </c>
      <c r="C507" t="s">
        <v>1202</v>
      </c>
      <c r="D507" t="s">
        <v>1205</v>
      </c>
      <c r="E507" t="s">
        <v>1204</v>
      </c>
      <c r="F507" t="s">
        <v>21</v>
      </c>
      <c r="G507" t="s">
        <v>21</v>
      </c>
      <c r="H507" t="s">
        <v>22</v>
      </c>
      <c r="I507">
        <v>1</v>
      </c>
      <c r="J507">
        <v>1</v>
      </c>
      <c r="K507">
        <v>0</v>
      </c>
    </row>
    <row r="508" spans="1:11" x14ac:dyDescent="0.15">
      <c r="A508" t="s">
        <v>15</v>
      </c>
      <c r="B508" t="s">
        <v>360</v>
      </c>
      <c r="C508" t="s">
        <v>1202</v>
      </c>
      <c r="D508" t="s">
        <v>1206</v>
      </c>
      <c r="E508" t="s">
        <v>1207</v>
      </c>
      <c r="F508" t="s">
        <v>21</v>
      </c>
      <c r="G508" t="s">
        <v>21</v>
      </c>
      <c r="H508" t="s">
        <v>22</v>
      </c>
      <c r="I508">
        <v>1</v>
      </c>
      <c r="J508">
        <v>1</v>
      </c>
      <c r="K508">
        <v>0</v>
      </c>
    </row>
    <row r="509" spans="1:11" x14ac:dyDescent="0.15">
      <c r="A509" t="s">
        <v>15</v>
      </c>
      <c r="B509" t="s">
        <v>360</v>
      </c>
      <c r="C509" t="s">
        <v>1202</v>
      </c>
      <c r="D509" t="s">
        <v>1208</v>
      </c>
      <c r="E509" t="s">
        <v>1209</v>
      </c>
      <c r="F509" t="s">
        <v>21</v>
      </c>
      <c r="G509" t="s">
        <v>21</v>
      </c>
      <c r="H509" t="s">
        <v>22</v>
      </c>
      <c r="I509">
        <v>1</v>
      </c>
      <c r="J509">
        <v>1</v>
      </c>
      <c r="K509">
        <v>0</v>
      </c>
    </row>
    <row r="510" spans="1:11" x14ac:dyDescent="0.15">
      <c r="A510" t="s">
        <v>184</v>
      </c>
      <c r="B510" t="s">
        <v>623</v>
      </c>
      <c r="C510" t="s">
        <v>984</v>
      </c>
      <c r="D510" t="s">
        <v>1210</v>
      </c>
      <c r="E510" t="s">
        <v>1211</v>
      </c>
      <c r="F510" t="s">
        <v>21</v>
      </c>
      <c r="G510" t="s">
        <v>21</v>
      </c>
      <c r="H510" t="s">
        <v>22</v>
      </c>
      <c r="I510">
        <v>2</v>
      </c>
      <c r="J510">
        <v>2</v>
      </c>
      <c r="K510">
        <v>0</v>
      </c>
    </row>
    <row r="511" spans="1:11" x14ac:dyDescent="0.15">
      <c r="A511" t="s">
        <v>184</v>
      </c>
      <c r="B511" t="s">
        <v>185</v>
      </c>
      <c r="C511" t="s">
        <v>1212</v>
      </c>
      <c r="D511" t="s">
        <v>1213</v>
      </c>
      <c r="E511" t="s">
        <v>1214</v>
      </c>
      <c r="F511" t="s">
        <v>21</v>
      </c>
      <c r="G511" t="s">
        <v>21</v>
      </c>
      <c r="H511" t="s">
        <v>22</v>
      </c>
      <c r="I511">
        <v>1</v>
      </c>
      <c r="J511">
        <v>1</v>
      </c>
      <c r="K511">
        <v>0</v>
      </c>
    </row>
    <row r="512" spans="1:11" x14ac:dyDescent="0.15">
      <c r="A512" t="s">
        <v>184</v>
      </c>
      <c r="B512" t="s">
        <v>185</v>
      </c>
      <c r="C512" t="s">
        <v>1212</v>
      </c>
      <c r="D512" t="s">
        <v>1215</v>
      </c>
      <c r="E512" t="s">
        <v>1216</v>
      </c>
      <c r="F512" t="s">
        <v>21</v>
      </c>
      <c r="G512" t="s">
        <v>21</v>
      </c>
      <c r="H512" t="s">
        <v>22</v>
      </c>
      <c r="I512">
        <v>25</v>
      </c>
      <c r="J512">
        <v>25</v>
      </c>
      <c r="K512">
        <v>0</v>
      </c>
    </row>
    <row r="513" spans="1:11" x14ac:dyDescent="0.15">
      <c r="A513" t="s">
        <v>184</v>
      </c>
      <c r="B513" t="s">
        <v>185</v>
      </c>
      <c r="C513" t="s">
        <v>1212</v>
      </c>
      <c r="D513" t="s">
        <v>1217</v>
      </c>
      <c r="E513" t="s">
        <v>1218</v>
      </c>
      <c r="F513" t="s">
        <v>21</v>
      </c>
      <c r="G513" t="s">
        <v>21</v>
      </c>
      <c r="H513" t="s">
        <v>22</v>
      </c>
      <c r="I513">
        <v>24</v>
      </c>
      <c r="J513">
        <v>24</v>
      </c>
      <c r="K513">
        <v>0</v>
      </c>
    </row>
    <row r="514" spans="1:11" x14ac:dyDescent="0.15">
      <c r="A514" t="s">
        <v>184</v>
      </c>
      <c r="B514" t="s">
        <v>185</v>
      </c>
      <c r="C514" t="s">
        <v>1212</v>
      </c>
      <c r="D514" t="s">
        <v>1219</v>
      </c>
      <c r="E514" t="s">
        <v>1220</v>
      </c>
      <c r="F514" t="s">
        <v>21</v>
      </c>
      <c r="G514" t="s">
        <v>21</v>
      </c>
      <c r="H514" t="s">
        <v>22</v>
      </c>
      <c r="I514">
        <v>22</v>
      </c>
      <c r="J514">
        <v>23</v>
      </c>
      <c r="K514">
        <v>1</v>
      </c>
    </row>
    <row r="515" spans="1:11" x14ac:dyDescent="0.15">
      <c r="A515" t="s">
        <v>184</v>
      </c>
      <c r="B515" t="s">
        <v>185</v>
      </c>
      <c r="C515" t="s">
        <v>1212</v>
      </c>
      <c r="D515" t="s">
        <v>1221</v>
      </c>
      <c r="E515" t="s">
        <v>1220</v>
      </c>
      <c r="F515" t="s">
        <v>21</v>
      </c>
      <c r="G515" t="s">
        <v>21</v>
      </c>
      <c r="H515" t="s">
        <v>22</v>
      </c>
      <c r="I515">
        <v>20</v>
      </c>
      <c r="J515">
        <v>21</v>
      </c>
      <c r="K515">
        <v>1</v>
      </c>
    </row>
    <row r="516" spans="1:11" x14ac:dyDescent="0.15">
      <c r="A516" t="s">
        <v>184</v>
      </c>
      <c r="B516" t="s">
        <v>185</v>
      </c>
      <c r="C516" t="s">
        <v>1212</v>
      </c>
      <c r="D516" t="s">
        <v>1222</v>
      </c>
      <c r="E516" t="s">
        <v>1223</v>
      </c>
      <c r="F516" t="s">
        <v>21</v>
      </c>
      <c r="G516" t="s">
        <v>21</v>
      </c>
      <c r="H516" t="s">
        <v>22</v>
      </c>
      <c r="I516">
        <v>6</v>
      </c>
      <c r="J516">
        <v>6</v>
      </c>
      <c r="K516">
        <v>0</v>
      </c>
    </row>
    <row r="517" spans="1:11" x14ac:dyDescent="0.15">
      <c r="A517" t="s">
        <v>184</v>
      </c>
      <c r="B517" t="s">
        <v>185</v>
      </c>
      <c r="C517" t="s">
        <v>1212</v>
      </c>
      <c r="D517" t="s">
        <v>1224</v>
      </c>
      <c r="E517" t="s">
        <v>1223</v>
      </c>
      <c r="F517" t="s">
        <v>21</v>
      </c>
      <c r="G517" t="s">
        <v>21</v>
      </c>
      <c r="H517" t="s">
        <v>22</v>
      </c>
      <c r="I517">
        <v>6</v>
      </c>
      <c r="J517">
        <v>6</v>
      </c>
      <c r="K517">
        <v>0</v>
      </c>
    </row>
    <row r="518" spans="1:11" x14ac:dyDescent="0.15">
      <c r="A518" t="s">
        <v>184</v>
      </c>
      <c r="B518" t="s">
        <v>185</v>
      </c>
      <c r="C518" t="s">
        <v>1212</v>
      </c>
      <c r="D518" t="s">
        <v>1225</v>
      </c>
      <c r="E518" t="s">
        <v>1226</v>
      </c>
      <c r="F518" t="s">
        <v>21</v>
      </c>
      <c r="G518" t="s">
        <v>21</v>
      </c>
      <c r="H518" t="s">
        <v>22</v>
      </c>
      <c r="I518">
        <v>1</v>
      </c>
      <c r="J518">
        <v>1</v>
      </c>
      <c r="K518">
        <v>0</v>
      </c>
    </row>
    <row r="519" spans="1:11" x14ac:dyDescent="0.15">
      <c r="A519" t="s">
        <v>184</v>
      </c>
      <c r="B519" t="s">
        <v>185</v>
      </c>
      <c r="C519" t="s">
        <v>1212</v>
      </c>
      <c r="D519" t="s">
        <v>1227</v>
      </c>
      <c r="E519" t="s">
        <v>1228</v>
      </c>
      <c r="F519" t="s">
        <v>21</v>
      </c>
      <c r="G519" t="s">
        <v>21</v>
      </c>
      <c r="H519" t="s">
        <v>22</v>
      </c>
      <c r="I519">
        <v>1</v>
      </c>
      <c r="J519">
        <v>1</v>
      </c>
      <c r="K519">
        <v>0</v>
      </c>
    </row>
    <row r="520" spans="1:11" x14ac:dyDescent="0.15">
      <c r="A520" t="s">
        <v>138</v>
      </c>
      <c r="B520" t="s">
        <v>300</v>
      </c>
      <c r="C520" t="s">
        <v>145</v>
      </c>
      <c r="D520" t="s">
        <v>1229</v>
      </c>
      <c r="E520" t="s">
        <v>1230</v>
      </c>
      <c r="F520" t="s">
        <v>21</v>
      </c>
      <c r="G520" t="s">
        <v>21</v>
      </c>
      <c r="H520" t="s">
        <v>22</v>
      </c>
      <c r="I520">
        <v>43</v>
      </c>
      <c r="J520">
        <v>43</v>
      </c>
      <c r="K520">
        <v>0</v>
      </c>
    </row>
    <row r="521" spans="1:11" x14ac:dyDescent="0.15">
      <c r="A521" t="s">
        <v>138</v>
      </c>
      <c r="B521" t="s">
        <v>300</v>
      </c>
      <c r="C521" t="s">
        <v>145</v>
      </c>
      <c r="D521" t="s">
        <v>1231</v>
      </c>
      <c r="E521" t="s">
        <v>1232</v>
      </c>
      <c r="F521" t="s">
        <v>21</v>
      </c>
      <c r="G521" t="s">
        <v>21</v>
      </c>
      <c r="H521" t="s">
        <v>22</v>
      </c>
      <c r="I521">
        <v>12</v>
      </c>
      <c r="J521">
        <v>12</v>
      </c>
      <c r="K521">
        <v>0</v>
      </c>
    </row>
    <row r="522" spans="1:11" x14ac:dyDescent="0.15">
      <c r="A522" t="s">
        <v>138</v>
      </c>
      <c r="B522" t="s">
        <v>300</v>
      </c>
      <c r="C522" t="s">
        <v>145</v>
      </c>
      <c r="D522" t="s">
        <v>1233</v>
      </c>
      <c r="E522" t="s">
        <v>1234</v>
      </c>
      <c r="F522" t="s">
        <v>21</v>
      </c>
      <c r="G522" t="s">
        <v>21</v>
      </c>
      <c r="H522" t="s">
        <v>22</v>
      </c>
      <c r="I522">
        <v>7</v>
      </c>
      <c r="J522">
        <v>7</v>
      </c>
      <c r="K522">
        <v>0</v>
      </c>
    </row>
    <row r="523" spans="1:11" x14ac:dyDescent="0.15">
      <c r="A523" t="s">
        <v>15</v>
      </c>
      <c r="B523" t="s">
        <v>676</v>
      </c>
      <c r="C523" t="s">
        <v>1235</v>
      </c>
      <c r="D523" t="s">
        <v>1236</v>
      </c>
      <c r="E523" t="s">
        <v>1237</v>
      </c>
      <c r="F523" t="s">
        <v>21</v>
      </c>
      <c r="G523" t="s">
        <v>21</v>
      </c>
      <c r="H523" t="s">
        <v>22</v>
      </c>
      <c r="I523">
        <v>6</v>
      </c>
      <c r="J523">
        <v>6</v>
      </c>
      <c r="K523">
        <v>0</v>
      </c>
    </row>
    <row r="524" spans="1:11" x14ac:dyDescent="0.15">
      <c r="A524" t="s">
        <v>15</v>
      </c>
      <c r="B524" t="s">
        <v>676</v>
      </c>
      <c r="C524" t="s">
        <v>1235</v>
      </c>
      <c r="D524" t="s">
        <v>1238</v>
      </c>
      <c r="E524" t="s">
        <v>1239</v>
      </c>
      <c r="F524" t="s">
        <v>21</v>
      </c>
      <c r="G524" t="s">
        <v>21</v>
      </c>
      <c r="H524" t="s">
        <v>22</v>
      </c>
      <c r="I524">
        <v>5</v>
      </c>
      <c r="J524">
        <v>5</v>
      </c>
      <c r="K524">
        <v>0</v>
      </c>
    </row>
    <row r="525" spans="1:11" x14ac:dyDescent="0.15">
      <c r="A525" t="s">
        <v>15</v>
      </c>
      <c r="B525" t="s">
        <v>676</v>
      </c>
      <c r="C525" t="s">
        <v>1235</v>
      </c>
      <c r="D525" t="s">
        <v>1240</v>
      </c>
      <c r="E525" t="s">
        <v>1241</v>
      </c>
      <c r="F525" t="s">
        <v>21</v>
      </c>
      <c r="G525" t="s">
        <v>21</v>
      </c>
      <c r="H525" t="s">
        <v>22</v>
      </c>
      <c r="I525">
        <v>13</v>
      </c>
      <c r="J525">
        <v>13</v>
      </c>
      <c r="K525">
        <v>0</v>
      </c>
    </row>
    <row r="526" spans="1:11" x14ac:dyDescent="0.15">
      <c r="A526" t="s">
        <v>15</v>
      </c>
      <c r="B526" t="s">
        <v>49</v>
      </c>
      <c r="C526" t="s">
        <v>1235</v>
      </c>
      <c r="D526" t="s">
        <v>1242</v>
      </c>
      <c r="E526" t="s">
        <v>1243</v>
      </c>
      <c r="F526" t="s">
        <v>21</v>
      </c>
      <c r="G526" t="s">
        <v>21</v>
      </c>
      <c r="H526" t="s">
        <v>22</v>
      </c>
      <c r="I526">
        <v>1</v>
      </c>
      <c r="J526">
        <v>1</v>
      </c>
      <c r="K526">
        <v>0</v>
      </c>
    </row>
    <row r="527" spans="1:11" x14ac:dyDescent="0.15">
      <c r="A527" t="s">
        <v>184</v>
      </c>
      <c r="B527" t="s">
        <v>185</v>
      </c>
      <c r="C527" t="s">
        <v>835</v>
      </c>
      <c r="D527" t="s">
        <v>1244</v>
      </c>
      <c r="E527" t="s">
        <v>1245</v>
      </c>
      <c r="F527" t="s">
        <v>21</v>
      </c>
      <c r="G527" t="s">
        <v>21</v>
      </c>
      <c r="H527" t="s">
        <v>22</v>
      </c>
      <c r="I527">
        <v>31</v>
      </c>
      <c r="J527">
        <v>31</v>
      </c>
      <c r="K527">
        <v>0</v>
      </c>
    </row>
    <row r="528" spans="1:11" x14ac:dyDescent="0.15">
      <c r="A528" t="s">
        <v>184</v>
      </c>
      <c r="B528" t="s">
        <v>185</v>
      </c>
      <c r="C528" t="s">
        <v>835</v>
      </c>
      <c r="D528" t="s">
        <v>1246</v>
      </c>
      <c r="E528" t="s">
        <v>1247</v>
      </c>
      <c r="F528" t="s">
        <v>21</v>
      </c>
      <c r="G528" t="s">
        <v>21</v>
      </c>
      <c r="H528" t="s">
        <v>22</v>
      </c>
      <c r="I528">
        <v>10</v>
      </c>
      <c r="J528">
        <v>10</v>
      </c>
      <c r="K528">
        <v>0</v>
      </c>
    </row>
    <row r="529" spans="1:11" x14ac:dyDescent="0.15">
      <c r="A529" t="s">
        <v>184</v>
      </c>
      <c r="B529" t="s">
        <v>185</v>
      </c>
      <c r="C529" t="s">
        <v>835</v>
      </c>
      <c r="D529" t="s">
        <v>1248</v>
      </c>
      <c r="E529" t="s">
        <v>1245</v>
      </c>
      <c r="F529" t="s">
        <v>21</v>
      </c>
      <c r="G529" t="s">
        <v>21</v>
      </c>
      <c r="H529" t="s">
        <v>22</v>
      </c>
      <c r="I529">
        <v>32</v>
      </c>
      <c r="J529">
        <v>32</v>
      </c>
      <c r="K529">
        <v>0</v>
      </c>
    </row>
    <row r="530" spans="1:11" x14ac:dyDescent="0.15">
      <c r="A530" t="s">
        <v>184</v>
      </c>
      <c r="B530" t="s">
        <v>185</v>
      </c>
      <c r="C530" t="s">
        <v>835</v>
      </c>
      <c r="D530" t="s">
        <v>1249</v>
      </c>
      <c r="E530" t="s">
        <v>1250</v>
      </c>
      <c r="F530" t="s">
        <v>21</v>
      </c>
      <c r="G530" t="s">
        <v>21</v>
      </c>
      <c r="H530" t="s">
        <v>22</v>
      </c>
      <c r="I530">
        <v>10</v>
      </c>
      <c r="J530">
        <v>10</v>
      </c>
      <c r="K530">
        <v>0</v>
      </c>
    </row>
    <row r="531" spans="1:11" x14ac:dyDescent="0.15">
      <c r="A531" t="s">
        <v>303</v>
      </c>
      <c r="B531" t="s">
        <v>707</v>
      </c>
      <c r="C531" t="s">
        <v>667</v>
      </c>
      <c r="D531" t="s">
        <v>1251</v>
      </c>
      <c r="E531" t="s">
        <v>1252</v>
      </c>
      <c r="F531" t="s">
        <v>21</v>
      </c>
      <c r="G531" t="s">
        <v>21</v>
      </c>
      <c r="H531" t="s">
        <v>22</v>
      </c>
      <c r="I531">
        <v>8</v>
      </c>
      <c r="J531">
        <v>8</v>
      </c>
      <c r="K531">
        <v>0</v>
      </c>
    </row>
    <row r="532" spans="1:11" x14ac:dyDescent="0.15">
      <c r="A532" t="s">
        <v>15</v>
      </c>
      <c r="B532" t="s">
        <v>546</v>
      </c>
      <c r="C532" t="s">
        <v>104</v>
      </c>
      <c r="D532" t="s">
        <v>1253</v>
      </c>
      <c r="E532" t="s">
        <v>1254</v>
      </c>
      <c r="F532" t="s">
        <v>21</v>
      </c>
      <c r="G532" t="s">
        <v>21</v>
      </c>
      <c r="H532" t="s">
        <v>22</v>
      </c>
      <c r="I532">
        <v>107</v>
      </c>
      <c r="J532">
        <v>124</v>
      </c>
      <c r="K532">
        <v>17</v>
      </c>
    </row>
    <row r="533" spans="1:11" x14ac:dyDescent="0.15">
      <c r="A533" t="s">
        <v>15</v>
      </c>
      <c r="B533" t="s">
        <v>566</v>
      </c>
      <c r="C533" t="s">
        <v>821</v>
      </c>
      <c r="D533" t="s">
        <v>1255</v>
      </c>
      <c r="E533" t="s">
        <v>1256</v>
      </c>
      <c r="F533" t="s">
        <v>21</v>
      </c>
      <c r="G533" t="s">
        <v>21</v>
      </c>
      <c r="H533" t="s">
        <v>22</v>
      </c>
      <c r="I533">
        <v>7</v>
      </c>
      <c r="J533">
        <v>18</v>
      </c>
      <c r="K533">
        <v>11</v>
      </c>
    </row>
    <row r="534" spans="1:11" x14ac:dyDescent="0.15">
      <c r="A534" t="s">
        <v>184</v>
      </c>
      <c r="B534" t="s">
        <v>432</v>
      </c>
      <c r="C534" t="s">
        <v>863</v>
      </c>
      <c r="D534" t="s">
        <v>1257</v>
      </c>
      <c r="E534" t="s">
        <v>1258</v>
      </c>
      <c r="F534" t="s">
        <v>21</v>
      </c>
      <c r="G534" t="s">
        <v>21</v>
      </c>
      <c r="H534" t="s">
        <v>22</v>
      </c>
      <c r="I534">
        <v>1</v>
      </c>
      <c r="J534">
        <v>2</v>
      </c>
      <c r="K534">
        <v>1</v>
      </c>
    </row>
    <row r="535" spans="1:11" x14ac:dyDescent="0.15">
      <c r="A535" t="s">
        <v>184</v>
      </c>
      <c r="B535" t="s">
        <v>432</v>
      </c>
      <c r="C535" t="s">
        <v>863</v>
      </c>
      <c r="D535" t="s">
        <v>1259</v>
      </c>
      <c r="E535" t="s">
        <v>1260</v>
      </c>
      <c r="F535" t="s">
        <v>21</v>
      </c>
      <c r="G535" t="s">
        <v>21</v>
      </c>
      <c r="H535" t="s">
        <v>22</v>
      </c>
      <c r="I535">
        <v>25</v>
      </c>
      <c r="J535">
        <v>25</v>
      </c>
      <c r="K535">
        <v>0</v>
      </c>
    </row>
    <row r="536" spans="1:11" x14ac:dyDescent="0.15">
      <c r="A536" t="s">
        <v>184</v>
      </c>
      <c r="B536" t="s">
        <v>432</v>
      </c>
      <c r="C536" t="s">
        <v>863</v>
      </c>
      <c r="D536" t="s">
        <v>1261</v>
      </c>
      <c r="E536" t="s">
        <v>1262</v>
      </c>
      <c r="F536" t="s">
        <v>21</v>
      </c>
      <c r="G536" t="s">
        <v>21</v>
      </c>
      <c r="H536" t="s">
        <v>22</v>
      </c>
      <c r="I536">
        <v>1</v>
      </c>
      <c r="J536">
        <v>2</v>
      </c>
      <c r="K536">
        <v>1</v>
      </c>
    </row>
    <row r="537" spans="1:11" x14ac:dyDescent="0.15">
      <c r="A537" t="s">
        <v>184</v>
      </c>
      <c r="B537" t="s">
        <v>432</v>
      </c>
      <c r="C537" t="s">
        <v>863</v>
      </c>
      <c r="D537" t="s">
        <v>1263</v>
      </c>
      <c r="E537" t="s">
        <v>1264</v>
      </c>
      <c r="F537" t="s">
        <v>21</v>
      </c>
      <c r="G537" t="s">
        <v>21</v>
      </c>
      <c r="H537" t="s">
        <v>22</v>
      </c>
      <c r="I537">
        <v>2</v>
      </c>
      <c r="J537">
        <v>2</v>
      </c>
      <c r="K537">
        <v>0</v>
      </c>
    </row>
    <row r="538" spans="1:11" x14ac:dyDescent="0.15">
      <c r="A538" t="s">
        <v>184</v>
      </c>
      <c r="B538" t="s">
        <v>432</v>
      </c>
      <c r="C538" t="s">
        <v>863</v>
      </c>
      <c r="D538" t="s">
        <v>1265</v>
      </c>
      <c r="E538" t="s">
        <v>1266</v>
      </c>
      <c r="F538" t="s">
        <v>21</v>
      </c>
      <c r="G538" t="s">
        <v>21</v>
      </c>
      <c r="H538" t="s">
        <v>22</v>
      </c>
      <c r="I538">
        <v>7</v>
      </c>
      <c r="J538">
        <v>8</v>
      </c>
      <c r="K538">
        <v>1</v>
      </c>
    </row>
    <row r="539" spans="1:11" x14ac:dyDescent="0.15">
      <c r="A539" t="s">
        <v>184</v>
      </c>
      <c r="B539" t="s">
        <v>432</v>
      </c>
      <c r="C539" t="s">
        <v>863</v>
      </c>
      <c r="D539" t="s">
        <v>1267</v>
      </c>
      <c r="E539" t="s">
        <v>1268</v>
      </c>
      <c r="F539" t="s">
        <v>21</v>
      </c>
      <c r="G539" t="s">
        <v>21</v>
      </c>
      <c r="H539" t="s">
        <v>22</v>
      </c>
      <c r="I539">
        <v>7</v>
      </c>
      <c r="J539">
        <v>7</v>
      </c>
      <c r="K539">
        <v>0</v>
      </c>
    </row>
    <row r="540" spans="1:11" x14ac:dyDescent="0.15">
      <c r="A540" t="s">
        <v>15</v>
      </c>
      <c r="B540" t="s">
        <v>1269</v>
      </c>
      <c r="C540" t="s">
        <v>1270</v>
      </c>
      <c r="D540" t="s">
        <v>1271</v>
      </c>
      <c r="E540" t="s">
        <v>1272</v>
      </c>
      <c r="F540" t="s">
        <v>21</v>
      </c>
      <c r="G540" t="s">
        <v>21</v>
      </c>
      <c r="H540" t="s">
        <v>22</v>
      </c>
      <c r="I540">
        <v>3</v>
      </c>
      <c r="J540">
        <v>3</v>
      </c>
      <c r="K540">
        <v>0</v>
      </c>
    </row>
    <row r="541" spans="1:11" x14ac:dyDescent="0.15">
      <c r="A541" t="s">
        <v>184</v>
      </c>
      <c r="B541" t="s">
        <v>432</v>
      </c>
      <c r="C541" t="s">
        <v>863</v>
      </c>
      <c r="D541" t="s">
        <v>1273</v>
      </c>
      <c r="E541" t="s">
        <v>1274</v>
      </c>
      <c r="F541" t="s">
        <v>21</v>
      </c>
      <c r="G541" t="s">
        <v>21</v>
      </c>
      <c r="H541" t="s">
        <v>22</v>
      </c>
      <c r="I541">
        <v>1</v>
      </c>
      <c r="J541">
        <v>1</v>
      </c>
      <c r="K541">
        <v>0</v>
      </c>
    </row>
    <row r="542" spans="1:11" x14ac:dyDescent="0.15">
      <c r="A542" t="s">
        <v>15</v>
      </c>
      <c r="B542" t="s">
        <v>1275</v>
      </c>
      <c r="C542" t="s">
        <v>17</v>
      </c>
      <c r="D542" t="s">
        <v>1276</v>
      </c>
      <c r="E542" t="s">
        <v>1277</v>
      </c>
      <c r="F542" t="s">
        <v>21</v>
      </c>
      <c r="G542" t="s">
        <v>21</v>
      </c>
      <c r="H542" t="s">
        <v>22</v>
      </c>
      <c r="I542">
        <v>4</v>
      </c>
      <c r="J542">
        <v>4</v>
      </c>
      <c r="K542">
        <v>0</v>
      </c>
    </row>
    <row r="543" spans="1:11" x14ac:dyDescent="0.15">
      <c r="A543" t="s">
        <v>15</v>
      </c>
      <c r="B543" t="s">
        <v>676</v>
      </c>
      <c r="C543" t="s">
        <v>1278</v>
      </c>
      <c r="D543" t="s">
        <v>1279</v>
      </c>
      <c r="E543" t="s">
        <v>1280</v>
      </c>
      <c r="F543" t="s">
        <v>21</v>
      </c>
      <c r="G543" t="s">
        <v>21</v>
      </c>
      <c r="H543" t="s">
        <v>22</v>
      </c>
      <c r="I543">
        <v>1</v>
      </c>
      <c r="J543">
        <v>1</v>
      </c>
      <c r="K543">
        <v>0</v>
      </c>
    </row>
    <row r="544" spans="1:11" x14ac:dyDescent="0.15">
      <c r="A544" t="s">
        <v>184</v>
      </c>
      <c r="B544" t="s">
        <v>623</v>
      </c>
      <c r="C544" t="s">
        <v>830</v>
      </c>
      <c r="D544" t="s">
        <v>1281</v>
      </c>
      <c r="E544" t="s">
        <v>1282</v>
      </c>
      <c r="F544" t="s">
        <v>21</v>
      </c>
      <c r="G544" t="s">
        <v>21</v>
      </c>
      <c r="H544" t="s">
        <v>22</v>
      </c>
      <c r="I544">
        <v>25</v>
      </c>
      <c r="J544">
        <v>25</v>
      </c>
      <c r="K544">
        <v>0</v>
      </c>
    </row>
    <row r="545" spans="1:11" x14ac:dyDescent="0.15">
      <c r="A545" t="s">
        <v>184</v>
      </c>
      <c r="B545" t="s">
        <v>623</v>
      </c>
      <c r="C545" t="s">
        <v>830</v>
      </c>
      <c r="D545" t="s">
        <v>1283</v>
      </c>
      <c r="E545" t="s">
        <v>1284</v>
      </c>
      <c r="F545" t="s">
        <v>21</v>
      </c>
      <c r="G545" t="s">
        <v>21</v>
      </c>
      <c r="H545" t="s">
        <v>22</v>
      </c>
      <c r="I545">
        <v>34</v>
      </c>
      <c r="J545">
        <v>34</v>
      </c>
      <c r="K545">
        <v>0</v>
      </c>
    </row>
    <row r="546" spans="1:11" x14ac:dyDescent="0.15">
      <c r="A546" t="s">
        <v>138</v>
      </c>
      <c r="B546" t="s">
        <v>351</v>
      </c>
      <c r="C546" t="s">
        <v>145</v>
      </c>
      <c r="D546" t="s">
        <v>1285</v>
      </c>
      <c r="E546" t="s">
        <v>1286</v>
      </c>
      <c r="F546" t="s">
        <v>21</v>
      </c>
      <c r="G546" t="s">
        <v>21</v>
      </c>
      <c r="H546" t="s">
        <v>22</v>
      </c>
      <c r="I546">
        <v>2</v>
      </c>
      <c r="J546">
        <v>2</v>
      </c>
      <c r="K546">
        <v>0</v>
      </c>
    </row>
    <row r="547" spans="1:11" x14ac:dyDescent="0.15">
      <c r="A547" t="s">
        <v>138</v>
      </c>
      <c r="B547" t="s">
        <v>351</v>
      </c>
      <c r="C547" t="s">
        <v>145</v>
      </c>
      <c r="D547" t="s">
        <v>1287</v>
      </c>
      <c r="E547" t="s">
        <v>1288</v>
      </c>
      <c r="F547" t="s">
        <v>21</v>
      </c>
      <c r="G547" t="s">
        <v>21</v>
      </c>
      <c r="H547" t="s">
        <v>22</v>
      </c>
      <c r="I547">
        <v>2</v>
      </c>
      <c r="J547">
        <v>2</v>
      </c>
      <c r="K547">
        <v>0</v>
      </c>
    </row>
    <row r="548" spans="1:11" x14ac:dyDescent="0.15">
      <c r="A548" t="s">
        <v>138</v>
      </c>
      <c r="B548" t="s">
        <v>381</v>
      </c>
      <c r="C548" t="s">
        <v>1289</v>
      </c>
      <c r="D548" t="s">
        <v>1290</v>
      </c>
      <c r="E548" t="s">
        <v>1291</v>
      </c>
      <c r="F548" t="s">
        <v>21</v>
      </c>
      <c r="G548" t="s">
        <v>21</v>
      </c>
      <c r="H548" t="s">
        <v>22</v>
      </c>
      <c r="I548">
        <v>2</v>
      </c>
      <c r="J548">
        <v>2</v>
      </c>
      <c r="K548">
        <v>0</v>
      </c>
    </row>
    <row r="549" spans="1:11" x14ac:dyDescent="0.15">
      <c r="A549" t="s">
        <v>15</v>
      </c>
      <c r="B549" t="s">
        <v>36</v>
      </c>
      <c r="C549" t="s">
        <v>863</v>
      </c>
      <c r="D549" t="s">
        <v>1292</v>
      </c>
      <c r="E549" t="s">
        <v>1293</v>
      </c>
      <c r="F549" t="s">
        <v>21</v>
      </c>
      <c r="G549" t="s">
        <v>21</v>
      </c>
      <c r="H549" t="s">
        <v>22</v>
      </c>
      <c r="I549">
        <v>6</v>
      </c>
      <c r="J549">
        <v>13</v>
      </c>
      <c r="K549">
        <v>7</v>
      </c>
    </row>
    <row r="550" spans="1:11" x14ac:dyDescent="0.15">
      <c r="A550" t="s">
        <v>138</v>
      </c>
      <c r="B550" t="s">
        <v>381</v>
      </c>
      <c r="C550" t="s">
        <v>667</v>
      </c>
      <c r="D550" t="s">
        <v>1294</v>
      </c>
      <c r="E550" t="s">
        <v>1295</v>
      </c>
      <c r="F550" t="s">
        <v>21</v>
      </c>
      <c r="G550" t="s">
        <v>21</v>
      </c>
      <c r="H550" t="s">
        <v>22</v>
      </c>
      <c r="I550">
        <v>1</v>
      </c>
      <c r="J550">
        <v>1</v>
      </c>
      <c r="K550">
        <v>0</v>
      </c>
    </row>
    <row r="551" spans="1:11" x14ac:dyDescent="0.15">
      <c r="A551" t="s">
        <v>184</v>
      </c>
      <c r="B551" t="s">
        <v>623</v>
      </c>
      <c r="C551" t="s">
        <v>863</v>
      </c>
      <c r="D551" t="s">
        <v>1296</v>
      </c>
      <c r="E551" t="s">
        <v>1297</v>
      </c>
      <c r="F551" t="s">
        <v>21</v>
      </c>
      <c r="G551" t="s">
        <v>21</v>
      </c>
      <c r="H551" t="s">
        <v>22</v>
      </c>
      <c r="I551">
        <v>4</v>
      </c>
      <c r="J551">
        <v>4</v>
      </c>
      <c r="K551">
        <v>0</v>
      </c>
    </row>
    <row r="552" spans="1:11" x14ac:dyDescent="0.15">
      <c r="A552" t="s">
        <v>184</v>
      </c>
      <c r="B552" t="s">
        <v>432</v>
      </c>
      <c r="C552" t="s">
        <v>821</v>
      </c>
      <c r="D552" t="s">
        <v>1298</v>
      </c>
      <c r="E552" t="s">
        <v>1299</v>
      </c>
      <c r="F552" t="s">
        <v>21</v>
      </c>
      <c r="G552" t="s">
        <v>21</v>
      </c>
      <c r="H552" t="s">
        <v>22</v>
      </c>
      <c r="I552">
        <v>1</v>
      </c>
      <c r="J552">
        <v>2</v>
      </c>
      <c r="K552">
        <v>1</v>
      </c>
    </row>
    <row r="553" spans="1:11" x14ac:dyDescent="0.15">
      <c r="A553" t="s">
        <v>184</v>
      </c>
      <c r="B553" t="s">
        <v>904</v>
      </c>
      <c r="C553" t="s">
        <v>821</v>
      </c>
      <c r="D553" t="s">
        <v>1300</v>
      </c>
      <c r="E553" t="s">
        <v>1301</v>
      </c>
      <c r="F553" t="s">
        <v>21</v>
      </c>
      <c r="G553" t="s">
        <v>21</v>
      </c>
      <c r="H553" t="s">
        <v>22</v>
      </c>
      <c r="I553">
        <v>5</v>
      </c>
      <c r="J553">
        <v>5</v>
      </c>
      <c r="K553">
        <v>0</v>
      </c>
    </row>
    <row r="554" spans="1:11" x14ac:dyDescent="0.15">
      <c r="A554" t="s">
        <v>184</v>
      </c>
      <c r="B554" t="s">
        <v>743</v>
      </c>
      <c r="C554" t="s">
        <v>821</v>
      </c>
      <c r="D554" t="s">
        <v>1302</v>
      </c>
      <c r="E554" t="s">
        <v>1303</v>
      </c>
      <c r="F554" t="s">
        <v>21</v>
      </c>
      <c r="G554" t="s">
        <v>21</v>
      </c>
      <c r="H554" t="s">
        <v>22</v>
      </c>
      <c r="I554">
        <v>3</v>
      </c>
      <c r="J554">
        <v>3</v>
      </c>
      <c r="K554">
        <v>0</v>
      </c>
    </row>
    <row r="555" spans="1:11" x14ac:dyDescent="0.15">
      <c r="A555" t="s">
        <v>184</v>
      </c>
      <c r="B555" t="s">
        <v>432</v>
      </c>
      <c r="C555" t="s">
        <v>145</v>
      </c>
      <c r="D555" t="s">
        <v>1304</v>
      </c>
      <c r="E555" t="s">
        <v>1305</v>
      </c>
      <c r="F555" t="s">
        <v>21</v>
      </c>
      <c r="G555" t="s">
        <v>21</v>
      </c>
      <c r="H555" t="s">
        <v>22</v>
      </c>
      <c r="I555">
        <v>12</v>
      </c>
      <c r="J555">
        <v>12</v>
      </c>
      <c r="K555">
        <v>0</v>
      </c>
    </row>
    <row r="556" spans="1:11" x14ac:dyDescent="0.15">
      <c r="A556" t="s">
        <v>15</v>
      </c>
      <c r="B556" t="s">
        <v>566</v>
      </c>
      <c r="C556" t="s">
        <v>821</v>
      </c>
      <c r="D556" t="s">
        <v>1306</v>
      </c>
      <c r="E556" t="s">
        <v>1307</v>
      </c>
      <c r="F556" t="s">
        <v>21</v>
      </c>
      <c r="G556" t="s">
        <v>21</v>
      </c>
      <c r="H556" t="s">
        <v>22</v>
      </c>
      <c r="I556">
        <v>5</v>
      </c>
      <c r="J556">
        <v>17</v>
      </c>
      <c r="K556">
        <v>12</v>
      </c>
    </row>
    <row r="557" spans="1:11" x14ac:dyDescent="0.15">
      <c r="A557" t="s">
        <v>15</v>
      </c>
      <c r="B557" t="s">
        <v>566</v>
      </c>
      <c r="C557" t="s">
        <v>821</v>
      </c>
      <c r="D557" t="s">
        <v>1308</v>
      </c>
      <c r="E557" t="s">
        <v>1309</v>
      </c>
      <c r="F557" t="s">
        <v>21</v>
      </c>
      <c r="G557" t="s">
        <v>21</v>
      </c>
      <c r="H557" t="s">
        <v>22</v>
      </c>
      <c r="I557">
        <v>4</v>
      </c>
      <c r="J557">
        <v>15</v>
      </c>
      <c r="K557">
        <v>11</v>
      </c>
    </row>
    <row r="558" spans="1:11" x14ac:dyDescent="0.15">
      <c r="A558" t="s">
        <v>15</v>
      </c>
      <c r="B558" t="s">
        <v>360</v>
      </c>
      <c r="C558" t="s">
        <v>808</v>
      </c>
      <c r="D558" t="s">
        <v>1310</v>
      </c>
      <c r="E558" t="s">
        <v>1311</v>
      </c>
      <c r="F558" t="s">
        <v>21</v>
      </c>
      <c r="G558" t="s">
        <v>21</v>
      </c>
      <c r="H558" t="s">
        <v>22</v>
      </c>
      <c r="I558">
        <v>10</v>
      </c>
      <c r="J558">
        <v>10</v>
      </c>
      <c r="K558">
        <v>0</v>
      </c>
    </row>
    <row r="559" spans="1:11" x14ac:dyDescent="0.15">
      <c r="A559" t="s">
        <v>15</v>
      </c>
      <c r="B559" t="s">
        <v>360</v>
      </c>
      <c r="C559" t="s">
        <v>808</v>
      </c>
      <c r="D559" t="s">
        <v>1312</v>
      </c>
      <c r="E559" t="s">
        <v>1313</v>
      </c>
      <c r="F559" t="s">
        <v>21</v>
      </c>
      <c r="G559" t="s">
        <v>21</v>
      </c>
      <c r="H559" t="s">
        <v>22</v>
      </c>
      <c r="I559">
        <v>4</v>
      </c>
      <c r="J559">
        <v>4</v>
      </c>
      <c r="K559">
        <v>0</v>
      </c>
    </row>
    <row r="560" spans="1:11" x14ac:dyDescent="0.15">
      <c r="A560" t="s">
        <v>15</v>
      </c>
      <c r="B560" t="s">
        <v>360</v>
      </c>
      <c r="C560" t="s">
        <v>821</v>
      </c>
      <c r="D560" t="s">
        <v>1314</v>
      </c>
      <c r="E560" t="s">
        <v>1315</v>
      </c>
      <c r="F560" t="s">
        <v>21</v>
      </c>
      <c r="G560" t="s">
        <v>21</v>
      </c>
      <c r="H560" t="s">
        <v>22</v>
      </c>
      <c r="I560">
        <v>12</v>
      </c>
      <c r="J560">
        <v>12</v>
      </c>
      <c r="K560">
        <v>0</v>
      </c>
    </row>
    <row r="561" spans="1:11" x14ac:dyDescent="0.15">
      <c r="A561" t="s">
        <v>15</v>
      </c>
      <c r="B561" t="s">
        <v>546</v>
      </c>
      <c r="C561" t="s">
        <v>863</v>
      </c>
      <c r="D561" t="s">
        <v>1316</v>
      </c>
      <c r="E561" t="s">
        <v>1317</v>
      </c>
      <c r="F561" t="s">
        <v>21</v>
      </c>
      <c r="G561" t="s">
        <v>21</v>
      </c>
      <c r="H561" t="s">
        <v>22</v>
      </c>
      <c r="I561">
        <v>2</v>
      </c>
      <c r="J561">
        <v>7</v>
      </c>
      <c r="K561">
        <v>5</v>
      </c>
    </row>
    <row r="562" spans="1:11" x14ac:dyDescent="0.15">
      <c r="A562" t="s">
        <v>184</v>
      </c>
      <c r="B562" t="s">
        <v>185</v>
      </c>
      <c r="C562" t="s">
        <v>821</v>
      </c>
      <c r="D562" t="s">
        <v>1318</v>
      </c>
      <c r="E562" t="s">
        <v>1319</v>
      </c>
      <c r="F562" t="s">
        <v>21</v>
      </c>
      <c r="G562" t="s">
        <v>21</v>
      </c>
      <c r="H562" t="s">
        <v>22</v>
      </c>
      <c r="I562">
        <v>2</v>
      </c>
      <c r="J562">
        <v>2</v>
      </c>
      <c r="K562">
        <v>0</v>
      </c>
    </row>
    <row r="563" spans="1:11" x14ac:dyDescent="0.15">
      <c r="A563" t="s">
        <v>15</v>
      </c>
      <c r="B563" t="s">
        <v>360</v>
      </c>
      <c r="C563" t="s">
        <v>910</v>
      </c>
      <c r="D563" t="s">
        <v>1320</v>
      </c>
      <c r="E563" t="s">
        <v>1321</v>
      </c>
      <c r="F563" t="s">
        <v>21</v>
      </c>
      <c r="G563" t="s">
        <v>21</v>
      </c>
      <c r="H563" t="s">
        <v>22</v>
      </c>
      <c r="I563">
        <v>40</v>
      </c>
      <c r="J563">
        <v>40</v>
      </c>
      <c r="K563">
        <v>0</v>
      </c>
    </row>
    <row r="564" spans="1:11" x14ac:dyDescent="0.15">
      <c r="A564" t="s">
        <v>184</v>
      </c>
      <c r="B564" t="s">
        <v>185</v>
      </c>
      <c r="C564" t="s">
        <v>821</v>
      </c>
      <c r="D564" t="s">
        <v>1322</v>
      </c>
      <c r="E564" t="s">
        <v>1323</v>
      </c>
      <c r="F564" t="s">
        <v>21</v>
      </c>
      <c r="G564" t="s">
        <v>21</v>
      </c>
      <c r="H564" t="s">
        <v>22</v>
      </c>
      <c r="I564">
        <v>5</v>
      </c>
      <c r="J564">
        <v>15</v>
      </c>
      <c r="K564">
        <v>10</v>
      </c>
    </row>
    <row r="565" spans="1:11" x14ac:dyDescent="0.15">
      <c r="A565" t="s">
        <v>184</v>
      </c>
      <c r="B565" t="s">
        <v>185</v>
      </c>
      <c r="C565" t="s">
        <v>821</v>
      </c>
      <c r="D565" t="s">
        <v>1324</v>
      </c>
      <c r="E565" t="s">
        <v>1325</v>
      </c>
      <c r="F565" t="s">
        <v>21</v>
      </c>
      <c r="G565" t="s">
        <v>21</v>
      </c>
      <c r="H565" t="s">
        <v>22</v>
      </c>
      <c r="I565">
        <v>21</v>
      </c>
      <c r="J565">
        <v>23</v>
      </c>
      <c r="K565">
        <v>2</v>
      </c>
    </row>
    <row r="566" spans="1:11" x14ac:dyDescent="0.15">
      <c r="A566" t="s">
        <v>184</v>
      </c>
      <c r="B566" t="s">
        <v>185</v>
      </c>
      <c r="C566" t="s">
        <v>821</v>
      </c>
      <c r="D566" t="s">
        <v>1326</v>
      </c>
      <c r="E566" t="s">
        <v>1327</v>
      </c>
      <c r="F566" t="s">
        <v>21</v>
      </c>
      <c r="G566" t="s">
        <v>21</v>
      </c>
      <c r="H566" t="s">
        <v>22</v>
      </c>
      <c r="I566">
        <v>44</v>
      </c>
      <c r="J566">
        <v>47</v>
      </c>
      <c r="K566">
        <v>3</v>
      </c>
    </row>
    <row r="567" spans="1:11" x14ac:dyDescent="0.15">
      <c r="A567" t="s">
        <v>184</v>
      </c>
      <c r="B567" t="s">
        <v>185</v>
      </c>
      <c r="C567" t="s">
        <v>821</v>
      </c>
      <c r="D567" t="s">
        <v>1328</v>
      </c>
      <c r="E567" t="s">
        <v>1329</v>
      </c>
      <c r="F567" t="s">
        <v>21</v>
      </c>
      <c r="G567" t="s">
        <v>21</v>
      </c>
      <c r="H567" t="s">
        <v>22</v>
      </c>
      <c r="I567">
        <v>29</v>
      </c>
      <c r="J567">
        <v>29</v>
      </c>
      <c r="K567">
        <v>0</v>
      </c>
    </row>
    <row r="568" spans="1:11" x14ac:dyDescent="0.15">
      <c r="A568" t="s">
        <v>15</v>
      </c>
      <c r="B568" t="s">
        <v>114</v>
      </c>
      <c r="C568" t="s">
        <v>104</v>
      </c>
      <c r="D568" t="s">
        <v>1330</v>
      </c>
      <c r="E568" t="s">
        <v>1331</v>
      </c>
      <c r="F568" t="s">
        <v>21</v>
      </c>
      <c r="G568" t="s">
        <v>21</v>
      </c>
      <c r="H568" t="s">
        <v>22</v>
      </c>
      <c r="I568">
        <v>75</v>
      </c>
      <c r="J568">
        <v>87</v>
      </c>
      <c r="K568">
        <v>12</v>
      </c>
    </row>
    <row r="569" spans="1:11" x14ac:dyDescent="0.15">
      <c r="A569" t="s">
        <v>15</v>
      </c>
      <c r="B569" t="s">
        <v>114</v>
      </c>
      <c r="C569" t="s">
        <v>104</v>
      </c>
      <c r="D569" t="s">
        <v>1332</v>
      </c>
      <c r="E569" t="s">
        <v>1333</v>
      </c>
      <c r="F569" t="s">
        <v>21</v>
      </c>
      <c r="G569" t="s">
        <v>21</v>
      </c>
      <c r="H569" t="s">
        <v>22</v>
      </c>
      <c r="I569">
        <v>4</v>
      </c>
      <c r="J569">
        <v>20</v>
      </c>
      <c r="K569">
        <v>16</v>
      </c>
    </row>
    <row r="570" spans="1:11" x14ac:dyDescent="0.15">
      <c r="A570" t="s">
        <v>15</v>
      </c>
      <c r="B570" t="s">
        <v>546</v>
      </c>
      <c r="C570" t="s">
        <v>104</v>
      </c>
      <c r="D570" t="s">
        <v>1334</v>
      </c>
      <c r="E570" t="s">
        <v>1335</v>
      </c>
      <c r="F570" t="s">
        <v>21</v>
      </c>
      <c r="G570" t="s">
        <v>21</v>
      </c>
      <c r="H570" t="s">
        <v>22</v>
      </c>
      <c r="I570">
        <v>4</v>
      </c>
      <c r="J570">
        <v>11</v>
      </c>
      <c r="K570">
        <v>7</v>
      </c>
    </row>
    <row r="571" spans="1:11" x14ac:dyDescent="0.15">
      <c r="A571" t="s">
        <v>184</v>
      </c>
      <c r="B571" t="s">
        <v>185</v>
      </c>
      <c r="C571" t="s">
        <v>821</v>
      </c>
      <c r="D571" t="s">
        <v>1336</v>
      </c>
      <c r="E571" t="s">
        <v>1337</v>
      </c>
      <c r="F571" t="s">
        <v>21</v>
      </c>
      <c r="G571" t="s">
        <v>21</v>
      </c>
      <c r="H571" t="s">
        <v>22</v>
      </c>
      <c r="I571">
        <v>1</v>
      </c>
      <c r="J571">
        <v>1</v>
      </c>
      <c r="K571">
        <v>0</v>
      </c>
    </row>
    <row r="572" spans="1:11" x14ac:dyDescent="0.15">
      <c r="A572" t="s">
        <v>184</v>
      </c>
      <c r="B572" t="s">
        <v>185</v>
      </c>
      <c r="C572" t="s">
        <v>821</v>
      </c>
      <c r="D572" t="s">
        <v>1338</v>
      </c>
      <c r="E572" t="s">
        <v>1339</v>
      </c>
      <c r="F572" t="s">
        <v>21</v>
      </c>
      <c r="G572" t="s">
        <v>21</v>
      </c>
      <c r="H572" t="s">
        <v>22</v>
      </c>
      <c r="I572">
        <v>4</v>
      </c>
      <c r="J572">
        <v>14</v>
      </c>
      <c r="K572">
        <v>10</v>
      </c>
    </row>
    <row r="573" spans="1:11" x14ac:dyDescent="0.15">
      <c r="A573" t="s">
        <v>184</v>
      </c>
      <c r="B573" t="s">
        <v>185</v>
      </c>
      <c r="C573" t="s">
        <v>821</v>
      </c>
      <c r="D573" t="s">
        <v>1340</v>
      </c>
      <c r="E573" t="s">
        <v>1341</v>
      </c>
      <c r="F573" t="s">
        <v>21</v>
      </c>
      <c r="G573" t="s">
        <v>21</v>
      </c>
      <c r="H573" t="s">
        <v>22</v>
      </c>
      <c r="I573">
        <v>1</v>
      </c>
      <c r="J573">
        <v>1</v>
      </c>
      <c r="K573">
        <v>0</v>
      </c>
    </row>
    <row r="574" spans="1:11" x14ac:dyDescent="0.15">
      <c r="A574" t="s">
        <v>184</v>
      </c>
      <c r="B574" t="s">
        <v>185</v>
      </c>
      <c r="C574" t="s">
        <v>821</v>
      </c>
      <c r="D574" t="s">
        <v>1342</v>
      </c>
      <c r="E574" t="s">
        <v>1343</v>
      </c>
      <c r="F574" t="s">
        <v>21</v>
      </c>
      <c r="G574" t="s">
        <v>21</v>
      </c>
      <c r="H574" t="s">
        <v>22</v>
      </c>
      <c r="I574">
        <v>20</v>
      </c>
      <c r="J574">
        <v>22</v>
      </c>
      <c r="K574">
        <v>2</v>
      </c>
    </row>
    <row r="575" spans="1:11" x14ac:dyDescent="0.15">
      <c r="A575" t="s">
        <v>184</v>
      </c>
      <c r="B575" t="s">
        <v>185</v>
      </c>
      <c r="C575" t="s">
        <v>821</v>
      </c>
      <c r="D575" t="s">
        <v>1344</v>
      </c>
      <c r="E575" t="s">
        <v>1345</v>
      </c>
      <c r="F575" t="s">
        <v>21</v>
      </c>
      <c r="G575" t="s">
        <v>21</v>
      </c>
      <c r="H575" t="s">
        <v>22</v>
      </c>
      <c r="I575">
        <v>1</v>
      </c>
      <c r="J575">
        <v>1</v>
      </c>
      <c r="K575">
        <v>0</v>
      </c>
    </row>
    <row r="576" spans="1:11" x14ac:dyDescent="0.15">
      <c r="A576" t="s">
        <v>184</v>
      </c>
      <c r="B576" t="s">
        <v>185</v>
      </c>
      <c r="C576" t="s">
        <v>821</v>
      </c>
      <c r="D576" t="s">
        <v>1346</v>
      </c>
      <c r="E576" t="s">
        <v>1347</v>
      </c>
      <c r="F576" t="s">
        <v>21</v>
      </c>
      <c r="G576" t="s">
        <v>21</v>
      </c>
      <c r="H576" t="s">
        <v>22</v>
      </c>
      <c r="I576">
        <v>47</v>
      </c>
      <c r="J576">
        <v>50</v>
      </c>
      <c r="K576">
        <v>3</v>
      </c>
    </row>
    <row r="577" spans="1:11" x14ac:dyDescent="0.15">
      <c r="A577" t="s">
        <v>184</v>
      </c>
      <c r="B577" t="s">
        <v>185</v>
      </c>
      <c r="C577" t="s">
        <v>821</v>
      </c>
      <c r="D577" t="s">
        <v>1348</v>
      </c>
      <c r="E577" t="s">
        <v>1349</v>
      </c>
      <c r="F577" t="s">
        <v>21</v>
      </c>
      <c r="G577" t="s">
        <v>21</v>
      </c>
      <c r="H577" t="s">
        <v>22</v>
      </c>
      <c r="I577">
        <v>1</v>
      </c>
      <c r="J577">
        <v>1</v>
      </c>
      <c r="K577">
        <v>0</v>
      </c>
    </row>
    <row r="578" spans="1:11" x14ac:dyDescent="0.15">
      <c r="A578" t="s">
        <v>184</v>
      </c>
      <c r="B578" t="s">
        <v>185</v>
      </c>
      <c r="C578" t="s">
        <v>821</v>
      </c>
      <c r="D578" t="s">
        <v>1350</v>
      </c>
      <c r="E578" t="s">
        <v>1351</v>
      </c>
      <c r="F578" t="s">
        <v>21</v>
      </c>
      <c r="G578" t="s">
        <v>21</v>
      </c>
      <c r="H578" t="s">
        <v>22</v>
      </c>
      <c r="I578">
        <v>31</v>
      </c>
      <c r="J578">
        <v>31</v>
      </c>
      <c r="K578">
        <v>0</v>
      </c>
    </row>
    <row r="579" spans="1:11" x14ac:dyDescent="0.15">
      <c r="A579" t="s">
        <v>138</v>
      </c>
      <c r="B579" t="s">
        <v>381</v>
      </c>
      <c r="C579" t="s">
        <v>1352</v>
      </c>
      <c r="D579" t="s">
        <v>1353</v>
      </c>
      <c r="E579" t="s">
        <v>1354</v>
      </c>
      <c r="F579" t="s">
        <v>21</v>
      </c>
      <c r="G579" t="s">
        <v>21</v>
      </c>
      <c r="H579" t="s">
        <v>22</v>
      </c>
      <c r="I579">
        <v>1</v>
      </c>
      <c r="J579">
        <v>1</v>
      </c>
      <c r="K579">
        <v>0</v>
      </c>
    </row>
    <row r="580" spans="1:11" x14ac:dyDescent="0.15">
      <c r="A580" t="s">
        <v>138</v>
      </c>
      <c r="B580" t="s">
        <v>381</v>
      </c>
      <c r="C580" t="s">
        <v>1352</v>
      </c>
      <c r="D580" t="s">
        <v>1355</v>
      </c>
      <c r="E580" t="s">
        <v>1356</v>
      </c>
      <c r="F580" t="s">
        <v>21</v>
      </c>
      <c r="G580" t="s">
        <v>21</v>
      </c>
      <c r="H580" t="s">
        <v>22</v>
      </c>
      <c r="I580">
        <v>1</v>
      </c>
      <c r="J580">
        <v>1</v>
      </c>
      <c r="K580">
        <v>0</v>
      </c>
    </row>
    <row r="581" spans="1:11" x14ac:dyDescent="0.15">
      <c r="A581" t="s">
        <v>138</v>
      </c>
      <c r="B581" t="s">
        <v>381</v>
      </c>
      <c r="C581" t="s">
        <v>1357</v>
      </c>
      <c r="D581" t="s">
        <v>1358</v>
      </c>
      <c r="E581" t="s">
        <v>1359</v>
      </c>
      <c r="F581" t="s">
        <v>21</v>
      </c>
      <c r="G581" t="s">
        <v>21</v>
      </c>
      <c r="H581" t="s">
        <v>22</v>
      </c>
      <c r="I581">
        <v>1</v>
      </c>
      <c r="J581">
        <v>1</v>
      </c>
      <c r="K581">
        <v>0</v>
      </c>
    </row>
    <row r="582" spans="1:11" x14ac:dyDescent="0.15">
      <c r="A582" t="s">
        <v>15</v>
      </c>
      <c r="B582" t="s">
        <v>360</v>
      </c>
      <c r="C582" t="s">
        <v>808</v>
      </c>
      <c r="D582" t="s">
        <v>1360</v>
      </c>
      <c r="E582" t="s">
        <v>1361</v>
      </c>
      <c r="F582" t="s">
        <v>21</v>
      </c>
      <c r="G582" t="s">
        <v>21</v>
      </c>
      <c r="H582" t="s">
        <v>22</v>
      </c>
      <c r="I582">
        <v>12</v>
      </c>
      <c r="J582">
        <v>12</v>
      </c>
      <c r="K582">
        <v>0</v>
      </c>
    </row>
    <row r="583" spans="1:11" x14ac:dyDescent="0.15">
      <c r="A583" t="s">
        <v>15</v>
      </c>
      <c r="B583" t="s">
        <v>360</v>
      </c>
      <c r="C583" t="s">
        <v>808</v>
      </c>
      <c r="D583" t="s">
        <v>1362</v>
      </c>
      <c r="E583" t="s">
        <v>1363</v>
      </c>
      <c r="F583" t="s">
        <v>21</v>
      </c>
      <c r="G583" t="s">
        <v>21</v>
      </c>
      <c r="H583" t="s">
        <v>22</v>
      </c>
      <c r="I583">
        <v>11</v>
      </c>
      <c r="J583">
        <v>11</v>
      </c>
      <c r="K583">
        <v>0</v>
      </c>
    </row>
    <row r="584" spans="1:11" x14ac:dyDescent="0.15">
      <c r="A584" t="s">
        <v>15</v>
      </c>
      <c r="B584" t="s">
        <v>360</v>
      </c>
      <c r="C584" t="s">
        <v>17</v>
      </c>
      <c r="D584" t="s">
        <v>1364</v>
      </c>
      <c r="E584" t="s">
        <v>1365</v>
      </c>
      <c r="F584" t="s">
        <v>21</v>
      </c>
      <c r="G584" t="s">
        <v>21</v>
      </c>
      <c r="H584" t="s">
        <v>22</v>
      </c>
      <c r="I584">
        <v>0</v>
      </c>
      <c r="J584">
        <v>2</v>
      </c>
      <c r="K584">
        <v>2</v>
      </c>
    </row>
    <row r="585" spans="1:11" x14ac:dyDescent="0.15">
      <c r="A585" t="s">
        <v>184</v>
      </c>
      <c r="B585" t="s">
        <v>763</v>
      </c>
      <c r="C585" t="s">
        <v>1366</v>
      </c>
      <c r="D585" t="s">
        <v>1367</v>
      </c>
      <c r="E585" t="s">
        <v>1368</v>
      </c>
      <c r="F585" t="s">
        <v>21</v>
      </c>
      <c r="G585" t="s">
        <v>21</v>
      </c>
      <c r="H585" t="s">
        <v>22</v>
      </c>
      <c r="I585">
        <v>2</v>
      </c>
      <c r="J585">
        <v>2</v>
      </c>
      <c r="K585">
        <v>0</v>
      </c>
    </row>
    <row r="586" spans="1:11" x14ac:dyDescent="0.15">
      <c r="A586" t="s">
        <v>184</v>
      </c>
      <c r="B586" t="s">
        <v>763</v>
      </c>
      <c r="C586" t="s">
        <v>1366</v>
      </c>
      <c r="D586" t="s">
        <v>1369</v>
      </c>
      <c r="E586" t="s">
        <v>1370</v>
      </c>
      <c r="F586" t="s">
        <v>21</v>
      </c>
      <c r="G586" t="s">
        <v>21</v>
      </c>
      <c r="H586" t="s">
        <v>22</v>
      </c>
      <c r="I586">
        <v>1</v>
      </c>
      <c r="J586">
        <v>1</v>
      </c>
      <c r="K586">
        <v>0</v>
      </c>
    </row>
    <row r="587" spans="1:11" x14ac:dyDescent="0.15">
      <c r="A587" t="s">
        <v>184</v>
      </c>
      <c r="B587" t="s">
        <v>763</v>
      </c>
      <c r="C587" t="s">
        <v>1366</v>
      </c>
      <c r="D587" t="s">
        <v>1371</v>
      </c>
      <c r="E587" t="s">
        <v>1372</v>
      </c>
      <c r="F587" t="s">
        <v>21</v>
      </c>
      <c r="G587" t="s">
        <v>21</v>
      </c>
      <c r="H587" t="s">
        <v>22</v>
      </c>
      <c r="I587">
        <v>1</v>
      </c>
      <c r="J587">
        <v>1</v>
      </c>
      <c r="K587">
        <v>0</v>
      </c>
    </row>
    <row r="588" spans="1:11" x14ac:dyDescent="0.15">
      <c r="A588" t="s">
        <v>138</v>
      </c>
      <c r="B588" t="s">
        <v>300</v>
      </c>
      <c r="C588" t="s">
        <v>145</v>
      </c>
      <c r="D588" t="s">
        <v>1373</v>
      </c>
      <c r="E588" t="s">
        <v>1374</v>
      </c>
      <c r="F588" t="s">
        <v>21</v>
      </c>
      <c r="G588" t="s">
        <v>21</v>
      </c>
      <c r="H588" t="s">
        <v>22</v>
      </c>
      <c r="I588">
        <v>9</v>
      </c>
      <c r="J588">
        <v>9</v>
      </c>
      <c r="K588">
        <v>0</v>
      </c>
    </row>
    <row r="589" spans="1:11" x14ac:dyDescent="0.15">
      <c r="A589" t="s">
        <v>138</v>
      </c>
      <c r="B589" t="s">
        <v>300</v>
      </c>
      <c r="C589" t="s">
        <v>145</v>
      </c>
      <c r="D589" t="s">
        <v>1375</v>
      </c>
      <c r="E589" t="s">
        <v>1376</v>
      </c>
      <c r="F589" t="s">
        <v>21</v>
      </c>
      <c r="G589" t="s">
        <v>21</v>
      </c>
      <c r="H589" t="s">
        <v>22</v>
      </c>
      <c r="I589">
        <v>1</v>
      </c>
      <c r="J589">
        <v>1</v>
      </c>
      <c r="K589">
        <v>0</v>
      </c>
    </row>
    <row r="590" spans="1:11" x14ac:dyDescent="0.15">
      <c r="A590" t="s">
        <v>15</v>
      </c>
      <c r="B590" t="s">
        <v>546</v>
      </c>
      <c r="C590" t="s">
        <v>910</v>
      </c>
      <c r="D590" t="s">
        <v>1377</v>
      </c>
      <c r="E590" t="s">
        <v>1378</v>
      </c>
      <c r="F590" t="s">
        <v>21</v>
      </c>
      <c r="G590" t="s">
        <v>21</v>
      </c>
      <c r="H590" t="s">
        <v>22</v>
      </c>
      <c r="I590">
        <v>1</v>
      </c>
      <c r="J590">
        <v>33</v>
      </c>
      <c r="K590">
        <v>32</v>
      </c>
    </row>
    <row r="591" spans="1:11" x14ac:dyDescent="0.15">
      <c r="A591" t="s">
        <v>303</v>
      </c>
      <c r="B591" t="s">
        <v>707</v>
      </c>
      <c r="C591" t="s">
        <v>667</v>
      </c>
      <c r="D591" t="s">
        <v>1379</v>
      </c>
      <c r="E591" t="s">
        <v>1380</v>
      </c>
      <c r="F591" t="s">
        <v>21</v>
      </c>
      <c r="G591" t="s">
        <v>21</v>
      </c>
      <c r="H591" t="s">
        <v>22</v>
      </c>
      <c r="I591">
        <v>1</v>
      </c>
      <c r="J591">
        <v>1</v>
      </c>
      <c r="K591">
        <v>0</v>
      </c>
    </row>
    <row r="592" spans="1:11" x14ac:dyDescent="0.15">
      <c r="A592" t="s">
        <v>15</v>
      </c>
      <c r="B592" t="s">
        <v>36</v>
      </c>
      <c r="C592" t="s">
        <v>941</v>
      </c>
      <c r="D592" t="s">
        <v>1381</v>
      </c>
      <c r="E592" t="s">
        <v>1382</v>
      </c>
      <c r="F592" t="s">
        <v>21</v>
      </c>
      <c r="G592" t="s">
        <v>21</v>
      </c>
      <c r="H592" t="s">
        <v>22</v>
      </c>
      <c r="I592">
        <v>396</v>
      </c>
      <c r="J592">
        <v>399</v>
      </c>
      <c r="K592">
        <v>3</v>
      </c>
    </row>
    <row r="593" spans="1:11" x14ac:dyDescent="0.15">
      <c r="A593" t="s">
        <v>15</v>
      </c>
      <c r="B593" t="s">
        <v>36</v>
      </c>
      <c r="C593" t="s">
        <v>941</v>
      </c>
      <c r="D593" t="s">
        <v>1383</v>
      </c>
      <c r="E593" t="s">
        <v>1384</v>
      </c>
      <c r="F593" t="s">
        <v>21</v>
      </c>
      <c r="G593" t="s">
        <v>21</v>
      </c>
      <c r="H593" t="s">
        <v>22</v>
      </c>
      <c r="I593">
        <v>652</v>
      </c>
      <c r="J593">
        <v>672</v>
      </c>
      <c r="K593">
        <v>20</v>
      </c>
    </row>
    <row r="594" spans="1:11" x14ac:dyDescent="0.15">
      <c r="A594" t="s">
        <v>310</v>
      </c>
      <c r="B594" t="s">
        <v>311</v>
      </c>
      <c r="C594" t="s">
        <v>1385</v>
      </c>
      <c r="D594" t="s">
        <v>1386</v>
      </c>
      <c r="E594" t="s">
        <v>1387</v>
      </c>
      <c r="F594" t="s">
        <v>21</v>
      </c>
      <c r="G594" t="s">
        <v>21</v>
      </c>
      <c r="H594" t="s">
        <v>22</v>
      </c>
      <c r="I594">
        <v>12</v>
      </c>
      <c r="J594">
        <v>12</v>
      </c>
      <c r="K594">
        <v>0</v>
      </c>
    </row>
    <row r="595" spans="1:11" x14ac:dyDescent="0.15">
      <c r="A595" t="s">
        <v>184</v>
      </c>
      <c r="B595" t="s">
        <v>743</v>
      </c>
      <c r="C595" t="s">
        <v>1366</v>
      </c>
      <c r="D595" t="s">
        <v>1388</v>
      </c>
      <c r="E595" t="s">
        <v>1389</v>
      </c>
      <c r="F595" t="s">
        <v>21</v>
      </c>
      <c r="G595" t="s">
        <v>21</v>
      </c>
      <c r="H595" t="s">
        <v>22</v>
      </c>
      <c r="I595">
        <v>3</v>
      </c>
      <c r="J595">
        <v>3</v>
      </c>
      <c r="K595">
        <v>0</v>
      </c>
    </row>
    <row r="596" spans="1:11" x14ac:dyDescent="0.15">
      <c r="A596" t="s">
        <v>184</v>
      </c>
      <c r="B596" t="s">
        <v>743</v>
      </c>
      <c r="C596" t="s">
        <v>1366</v>
      </c>
      <c r="D596" t="s">
        <v>1390</v>
      </c>
      <c r="E596" t="s">
        <v>1391</v>
      </c>
      <c r="F596" t="s">
        <v>21</v>
      </c>
      <c r="G596" t="s">
        <v>21</v>
      </c>
      <c r="H596" t="s">
        <v>22</v>
      </c>
      <c r="I596">
        <v>5</v>
      </c>
      <c r="J596">
        <v>5</v>
      </c>
      <c r="K596">
        <v>0</v>
      </c>
    </row>
    <row r="597" spans="1:11" x14ac:dyDescent="0.15">
      <c r="A597" t="s">
        <v>184</v>
      </c>
      <c r="B597" t="s">
        <v>763</v>
      </c>
      <c r="C597" t="s">
        <v>1366</v>
      </c>
      <c r="D597" t="s">
        <v>1392</v>
      </c>
      <c r="E597" t="s">
        <v>1393</v>
      </c>
      <c r="F597" t="s">
        <v>21</v>
      </c>
      <c r="G597" t="s">
        <v>21</v>
      </c>
      <c r="H597" t="s">
        <v>22</v>
      </c>
      <c r="I597">
        <v>1</v>
      </c>
      <c r="J597">
        <v>1</v>
      </c>
      <c r="K597">
        <v>0</v>
      </c>
    </row>
    <row r="598" spans="1:11" x14ac:dyDescent="0.15">
      <c r="A598" t="s">
        <v>184</v>
      </c>
      <c r="B598" t="s">
        <v>763</v>
      </c>
      <c r="C598" t="s">
        <v>1366</v>
      </c>
      <c r="D598" t="s">
        <v>1394</v>
      </c>
      <c r="E598" t="s">
        <v>1395</v>
      </c>
      <c r="F598" t="s">
        <v>21</v>
      </c>
      <c r="G598" t="s">
        <v>21</v>
      </c>
      <c r="H598" t="s">
        <v>22</v>
      </c>
      <c r="I598">
        <v>10</v>
      </c>
      <c r="J598">
        <v>10</v>
      </c>
      <c r="K598">
        <v>0</v>
      </c>
    </row>
    <row r="599" spans="1:11" x14ac:dyDescent="0.15">
      <c r="A599" t="s">
        <v>184</v>
      </c>
      <c r="B599" t="s">
        <v>763</v>
      </c>
      <c r="C599" t="s">
        <v>1366</v>
      </c>
      <c r="D599" t="s">
        <v>1396</v>
      </c>
      <c r="E599" t="s">
        <v>1397</v>
      </c>
      <c r="F599" t="s">
        <v>21</v>
      </c>
      <c r="G599" t="s">
        <v>21</v>
      </c>
      <c r="H599" t="s">
        <v>22</v>
      </c>
      <c r="I599">
        <v>11</v>
      </c>
      <c r="J599">
        <v>11</v>
      </c>
      <c r="K599">
        <v>0</v>
      </c>
    </row>
    <row r="600" spans="1:11" x14ac:dyDescent="0.15">
      <c r="A600" t="s">
        <v>15</v>
      </c>
      <c r="B600" t="s">
        <v>36</v>
      </c>
      <c r="C600" t="s">
        <v>1398</v>
      </c>
      <c r="D600" t="s">
        <v>1399</v>
      </c>
      <c r="E600" t="s">
        <v>1400</v>
      </c>
      <c r="F600" t="s">
        <v>21</v>
      </c>
      <c r="G600" t="s">
        <v>21</v>
      </c>
      <c r="H600" t="s">
        <v>22</v>
      </c>
      <c r="I600">
        <v>0</v>
      </c>
      <c r="J600">
        <v>1</v>
      </c>
      <c r="K600">
        <v>1</v>
      </c>
    </row>
    <row r="601" spans="1:11" x14ac:dyDescent="0.15">
      <c r="A601" t="s">
        <v>184</v>
      </c>
      <c r="B601" t="s">
        <v>763</v>
      </c>
      <c r="C601" t="s">
        <v>1366</v>
      </c>
      <c r="D601" t="s">
        <v>1401</v>
      </c>
      <c r="E601" t="s">
        <v>1402</v>
      </c>
      <c r="F601" t="s">
        <v>21</v>
      </c>
      <c r="G601" t="s">
        <v>21</v>
      </c>
      <c r="H601" t="s">
        <v>22</v>
      </c>
      <c r="I601">
        <v>1</v>
      </c>
      <c r="J601">
        <v>1</v>
      </c>
      <c r="K601">
        <v>0</v>
      </c>
    </row>
    <row r="602" spans="1:11" x14ac:dyDescent="0.15">
      <c r="A602" t="s">
        <v>184</v>
      </c>
      <c r="B602" t="s">
        <v>763</v>
      </c>
      <c r="C602" t="s">
        <v>1366</v>
      </c>
      <c r="D602" t="s">
        <v>1403</v>
      </c>
      <c r="E602" t="s">
        <v>1404</v>
      </c>
      <c r="F602" t="s">
        <v>21</v>
      </c>
      <c r="G602" t="s">
        <v>21</v>
      </c>
      <c r="H602" t="s">
        <v>22</v>
      </c>
      <c r="I602">
        <v>9</v>
      </c>
      <c r="J602">
        <v>9</v>
      </c>
      <c r="K602">
        <v>0</v>
      </c>
    </row>
    <row r="603" spans="1:11" x14ac:dyDescent="0.15">
      <c r="A603" t="s">
        <v>184</v>
      </c>
      <c r="B603" t="s">
        <v>763</v>
      </c>
      <c r="C603" t="s">
        <v>1366</v>
      </c>
      <c r="D603" t="s">
        <v>1405</v>
      </c>
      <c r="E603" t="s">
        <v>1406</v>
      </c>
      <c r="F603" t="s">
        <v>21</v>
      </c>
      <c r="G603" t="s">
        <v>21</v>
      </c>
      <c r="H603" t="s">
        <v>22</v>
      </c>
      <c r="I603">
        <v>5</v>
      </c>
      <c r="J603">
        <v>5</v>
      </c>
      <c r="K603">
        <v>0</v>
      </c>
    </row>
    <row r="604" spans="1:11" x14ac:dyDescent="0.15">
      <c r="A604" t="s">
        <v>15</v>
      </c>
      <c r="B604" t="s">
        <v>75</v>
      </c>
      <c r="C604" t="s">
        <v>1407</v>
      </c>
      <c r="D604" t="s">
        <v>1408</v>
      </c>
      <c r="E604" t="s">
        <v>1409</v>
      </c>
      <c r="F604" t="s">
        <v>21</v>
      </c>
      <c r="G604" t="s">
        <v>21</v>
      </c>
      <c r="H604" t="s">
        <v>22</v>
      </c>
      <c r="I604">
        <v>68</v>
      </c>
      <c r="J604">
        <v>76</v>
      </c>
      <c r="K604">
        <v>8</v>
      </c>
    </row>
    <row r="605" spans="1:11" x14ac:dyDescent="0.15">
      <c r="A605" t="s">
        <v>15</v>
      </c>
      <c r="B605" t="s">
        <v>75</v>
      </c>
      <c r="C605" t="s">
        <v>1407</v>
      </c>
      <c r="D605" t="s">
        <v>1410</v>
      </c>
      <c r="E605" t="s">
        <v>1411</v>
      </c>
      <c r="F605" t="s">
        <v>21</v>
      </c>
      <c r="G605" t="s">
        <v>21</v>
      </c>
      <c r="H605" t="s">
        <v>22</v>
      </c>
      <c r="I605">
        <v>0</v>
      </c>
      <c r="J605">
        <v>8</v>
      </c>
      <c r="K605">
        <v>8</v>
      </c>
    </row>
    <row r="606" spans="1:11" x14ac:dyDescent="0.15">
      <c r="A606" t="s">
        <v>15</v>
      </c>
      <c r="B606" t="s">
        <v>75</v>
      </c>
      <c r="C606" t="s">
        <v>1407</v>
      </c>
      <c r="D606" t="s">
        <v>1412</v>
      </c>
      <c r="E606" t="s">
        <v>1413</v>
      </c>
      <c r="F606" t="s">
        <v>21</v>
      </c>
      <c r="G606" t="s">
        <v>21</v>
      </c>
      <c r="H606" t="s">
        <v>22</v>
      </c>
      <c r="I606">
        <v>43</v>
      </c>
      <c r="J606">
        <v>53</v>
      </c>
      <c r="K606">
        <v>10</v>
      </c>
    </row>
    <row r="607" spans="1:11" x14ac:dyDescent="0.15">
      <c r="A607" t="s">
        <v>15</v>
      </c>
      <c r="B607" t="s">
        <v>75</v>
      </c>
      <c r="C607" t="s">
        <v>1407</v>
      </c>
      <c r="D607" t="s">
        <v>1414</v>
      </c>
      <c r="E607" t="s">
        <v>1415</v>
      </c>
      <c r="F607" t="s">
        <v>21</v>
      </c>
      <c r="G607" t="s">
        <v>21</v>
      </c>
      <c r="H607" t="s">
        <v>22</v>
      </c>
      <c r="I607">
        <v>87</v>
      </c>
      <c r="J607">
        <v>96</v>
      </c>
      <c r="K607">
        <v>9</v>
      </c>
    </row>
    <row r="608" spans="1:11" x14ac:dyDescent="0.15">
      <c r="A608" t="s">
        <v>15</v>
      </c>
      <c r="B608" t="s">
        <v>75</v>
      </c>
      <c r="C608" t="s">
        <v>1407</v>
      </c>
      <c r="D608" t="s">
        <v>1416</v>
      </c>
      <c r="E608" t="s">
        <v>1417</v>
      </c>
      <c r="F608" t="s">
        <v>21</v>
      </c>
      <c r="G608" t="s">
        <v>21</v>
      </c>
      <c r="H608" t="s">
        <v>22</v>
      </c>
      <c r="I608">
        <v>12</v>
      </c>
      <c r="J608">
        <v>14</v>
      </c>
      <c r="K608">
        <v>2</v>
      </c>
    </row>
    <row r="609" spans="1:11" x14ac:dyDescent="0.15">
      <c r="A609" t="s">
        <v>15</v>
      </c>
      <c r="B609" t="s">
        <v>75</v>
      </c>
      <c r="C609" t="s">
        <v>1407</v>
      </c>
      <c r="D609" t="s">
        <v>1418</v>
      </c>
      <c r="E609" t="s">
        <v>1419</v>
      </c>
      <c r="F609" t="s">
        <v>21</v>
      </c>
      <c r="G609" t="s">
        <v>21</v>
      </c>
      <c r="H609" t="s">
        <v>22</v>
      </c>
      <c r="I609">
        <v>42</v>
      </c>
      <c r="J609">
        <v>52</v>
      </c>
      <c r="K609">
        <v>10</v>
      </c>
    </row>
    <row r="610" spans="1:11" x14ac:dyDescent="0.15">
      <c r="A610" t="s">
        <v>15</v>
      </c>
      <c r="B610" t="s">
        <v>360</v>
      </c>
      <c r="C610" t="s">
        <v>1398</v>
      </c>
      <c r="D610" t="s">
        <v>1420</v>
      </c>
      <c r="E610" t="s">
        <v>1421</v>
      </c>
      <c r="F610" t="s">
        <v>21</v>
      </c>
      <c r="G610" t="s">
        <v>21</v>
      </c>
      <c r="H610" t="s">
        <v>22</v>
      </c>
      <c r="I610">
        <v>0</v>
      </c>
      <c r="J610">
        <v>1</v>
      </c>
      <c r="K610">
        <v>1</v>
      </c>
    </row>
    <row r="611" spans="1:11" x14ac:dyDescent="0.15">
      <c r="A611" t="s">
        <v>15</v>
      </c>
      <c r="B611" t="s">
        <v>1422</v>
      </c>
      <c r="C611" t="s">
        <v>1423</v>
      </c>
      <c r="D611" t="s">
        <v>1424</v>
      </c>
      <c r="E611" t="s">
        <v>1425</v>
      </c>
      <c r="F611" t="s">
        <v>21</v>
      </c>
      <c r="G611" t="s">
        <v>21</v>
      </c>
      <c r="H611" t="s">
        <v>22</v>
      </c>
      <c r="I611">
        <v>1</v>
      </c>
      <c r="J611">
        <v>1</v>
      </c>
      <c r="K611">
        <v>0</v>
      </c>
    </row>
    <row r="612" spans="1:11" x14ac:dyDescent="0.15">
      <c r="A612" t="s">
        <v>15</v>
      </c>
      <c r="B612" t="s">
        <v>446</v>
      </c>
      <c r="C612" t="s">
        <v>1426</v>
      </c>
      <c r="D612" t="s">
        <v>1427</v>
      </c>
      <c r="E612" t="s">
        <v>1428</v>
      </c>
      <c r="F612" t="s">
        <v>21</v>
      </c>
      <c r="G612" t="s">
        <v>21</v>
      </c>
      <c r="H612" t="s">
        <v>22</v>
      </c>
      <c r="I612">
        <v>67</v>
      </c>
      <c r="J612">
        <v>111</v>
      </c>
      <c r="K612">
        <v>44</v>
      </c>
    </row>
    <row r="613" spans="1:11" x14ac:dyDescent="0.15">
      <c r="A613" t="s">
        <v>15</v>
      </c>
      <c r="B613" t="s">
        <v>446</v>
      </c>
      <c r="C613" t="s">
        <v>1426</v>
      </c>
      <c r="D613" t="s">
        <v>1429</v>
      </c>
      <c r="E613" t="s">
        <v>1430</v>
      </c>
      <c r="F613" t="s">
        <v>21</v>
      </c>
      <c r="G613" t="s">
        <v>21</v>
      </c>
      <c r="H613" t="s">
        <v>22</v>
      </c>
      <c r="I613">
        <v>69</v>
      </c>
      <c r="J613">
        <v>113</v>
      </c>
      <c r="K613">
        <v>44</v>
      </c>
    </row>
    <row r="614" spans="1:11" x14ac:dyDescent="0.15">
      <c r="A614" t="s">
        <v>15</v>
      </c>
      <c r="B614" t="s">
        <v>1185</v>
      </c>
      <c r="C614" t="s">
        <v>1431</v>
      </c>
      <c r="D614" t="s">
        <v>1432</v>
      </c>
      <c r="E614" t="s">
        <v>1433</v>
      </c>
      <c r="F614" t="s">
        <v>21</v>
      </c>
      <c r="G614" t="s">
        <v>21</v>
      </c>
      <c r="H614" t="s">
        <v>22</v>
      </c>
      <c r="I614">
        <v>1</v>
      </c>
      <c r="J614">
        <v>1</v>
      </c>
      <c r="K614">
        <v>0</v>
      </c>
    </row>
    <row r="615" spans="1:11" x14ac:dyDescent="0.15">
      <c r="A615" t="s">
        <v>15</v>
      </c>
      <c r="B615" t="s">
        <v>566</v>
      </c>
      <c r="C615" t="s">
        <v>1235</v>
      </c>
      <c r="D615" t="s">
        <v>1434</v>
      </c>
      <c r="E615" t="s">
        <v>1435</v>
      </c>
      <c r="F615" t="s">
        <v>21</v>
      </c>
      <c r="G615" t="s">
        <v>21</v>
      </c>
      <c r="H615" t="s">
        <v>22</v>
      </c>
      <c r="I615">
        <v>3</v>
      </c>
      <c r="J615">
        <v>3</v>
      </c>
      <c r="K615">
        <v>0</v>
      </c>
    </row>
    <row r="616" spans="1:11" x14ac:dyDescent="0.15">
      <c r="A616" t="s">
        <v>15</v>
      </c>
      <c r="B616" t="s">
        <v>566</v>
      </c>
      <c r="C616" t="s">
        <v>1235</v>
      </c>
      <c r="D616" t="s">
        <v>1436</v>
      </c>
      <c r="E616" t="s">
        <v>1435</v>
      </c>
      <c r="F616" t="s">
        <v>21</v>
      </c>
      <c r="G616" t="s">
        <v>21</v>
      </c>
      <c r="H616" t="s">
        <v>22</v>
      </c>
      <c r="I616">
        <v>2</v>
      </c>
      <c r="J616">
        <v>2</v>
      </c>
      <c r="K616">
        <v>0</v>
      </c>
    </row>
    <row r="617" spans="1:11" x14ac:dyDescent="0.15">
      <c r="A617" t="s">
        <v>15</v>
      </c>
      <c r="B617" t="s">
        <v>566</v>
      </c>
      <c r="C617" t="s">
        <v>1235</v>
      </c>
      <c r="D617" t="s">
        <v>1437</v>
      </c>
      <c r="E617" t="s">
        <v>1435</v>
      </c>
      <c r="F617" t="s">
        <v>21</v>
      </c>
      <c r="G617" t="s">
        <v>21</v>
      </c>
      <c r="H617" t="s">
        <v>22</v>
      </c>
      <c r="I617">
        <v>3</v>
      </c>
      <c r="J617">
        <v>3</v>
      </c>
      <c r="K617">
        <v>0</v>
      </c>
    </row>
    <row r="618" spans="1:11" x14ac:dyDescent="0.15">
      <c r="A618" t="s">
        <v>138</v>
      </c>
      <c r="B618" t="s">
        <v>189</v>
      </c>
      <c r="C618" t="s">
        <v>145</v>
      </c>
      <c r="D618" t="s">
        <v>1438</v>
      </c>
      <c r="E618" t="s">
        <v>1439</v>
      </c>
      <c r="F618" t="s">
        <v>21</v>
      </c>
      <c r="G618" t="s">
        <v>21</v>
      </c>
      <c r="H618" t="s">
        <v>22</v>
      </c>
      <c r="I618">
        <v>1</v>
      </c>
      <c r="J618">
        <v>1</v>
      </c>
      <c r="K618">
        <v>0</v>
      </c>
    </row>
    <row r="619" spans="1:11" x14ac:dyDescent="0.15">
      <c r="A619" t="s">
        <v>15</v>
      </c>
      <c r="B619" t="s">
        <v>53</v>
      </c>
      <c r="C619" t="s">
        <v>1042</v>
      </c>
      <c r="D619" t="s">
        <v>1440</v>
      </c>
      <c r="E619" t="s">
        <v>1441</v>
      </c>
      <c r="F619" t="s">
        <v>21</v>
      </c>
      <c r="G619" t="s">
        <v>21</v>
      </c>
      <c r="H619" t="s">
        <v>22</v>
      </c>
      <c r="I619">
        <v>1</v>
      </c>
      <c r="J619">
        <v>1</v>
      </c>
      <c r="K619">
        <v>0</v>
      </c>
    </row>
    <row r="620" spans="1:11" x14ac:dyDescent="0.15">
      <c r="A620" t="s">
        <v>15</v>
      </c>
      <c r="B620" t="s">
        <v>360</v>
      </c>
      <c r="C620" t="s">
        <v>791</v>
      </c>
      <c r="D620" t="s">
        <v>1442</v>
      </c>
      <c r="E620" t="s">
        <v>1443</v>
      </c>
      <c r="F620" t="s">
        <v>21</v>
      </c>
      <c r="G620" t="s">
        <v>21</v>
      </c>
      <c r="H620" t="s">
        <v>22</v>
      </c>
      <c r="I620">
        <v>54</v>
      </c>
      <c r="J620">
        <v>54</v>
      </c>
      <c r="K620">
        <v>0</v>
      </c>
    </row>
    <row r="621" spans="1:11" x14ac:dyDescent="0.15">
      <c r="A621" t="s">
        <v>15</v>
      </c>
      <c r="B621" t="s">
        <v>360</v>
      </c>
      <c r="C621" t="s">
        <v>791</v>
      </c>
      <c r="D621" t="s">
        <v>1444</v>
      </c>
      <c r="E621" t="s">
        <v>1445</v>
      </c>
      <c r="F621" t="s">
        <v>21</v>
      </c>
      <c r="G621" t="s">
        <v>21</v>
      </c>
      <c r="H621" t="s">
        <v>22</v>
      </c>
      <c r="I621">
        <v>6</v>
      </c>
      <c r="J621">
        <v>6</v>
      </c>
      <c r="K621">
        <v>0</v>
      </c>
    </row>
    <row r="622" spans="1:11" x14ac:dyDescent="0.15">
      <c r="A622" t="s">
        <v>184</v>
      </c>
      <c r="B622" t="s">
        <v>432</v>
      </c>
      <c r="C622" t="s">
        <v>145</v>
      </c>
      <c r="D622" t="s">
        <v>1446</v>
      </c>
      <c r="E622" t="s">
        <v>436</v>
      </c>
      <c r="F622" t="s">
        <v>21</v>
      </c>
      <c r="G622" t="s">
        <v>21</v>
      </c>
      <c r="H622" t="s">
        <v>22</v>
      </c>
      <c r="I622">
        <v>1</v>
      </c>
      <c r="J622">
        <v>1</v>
      </c>
      <c r="K622">
        <v>0</v>
      </c>
    </row>
    <row r="623" spans="1:11" x14ac:dyDescent="0.15">
      <c r="A623" t="s">
        <v>184</v>
      </c>
      <c r="B623" t="s">
        <v>185</v>
      </c>
      <c r="C623" t="s">
        <v>791</v>
      </c>
      <c r="D623" t="s">
        <v>1447</v>
      </c>
      <c r="E623" t="s">
        <v>1448</v>
      </c>
      <c r="F623" t="s">
        <v>21</v>
      </c>
      <c r="G623" t="s">
        <v>21</v>
      </c>
      <c r="H623" t="s">
        <v>22</v>
      </c>
      <c r="I623">
        <v>2</v>
      </c>
      <c r="J623">
        <v>2</v>
      </c>
      <c r="K623">
        <v>0</v>
      </c>
    </row>
    <row r="624" spans="1:11" x14ac:dyDescent="0.15">
      <c r="A624" t="s">
        <v>184</v>
      </c>
      <c r="B624" t="s">
        <v>185</v>
      </c>
      <c r="C624" t="s">
        <v>910</v>
      </c>
      <c r="D624" t="s">
        <v>1449</v>
      </c>
      <c r="E624" t="s">
        <v>1450</v>
      </c>
      <c r="F624" t="s">
        <v>21</v>
      </c>
      <c r="G624" t="s">
        <v>21</v>
      </c>
      <c r="H624" t="s">
        <v>22</v>
      </c>
      <c r="I624">
        <v>6</v>
      </c>
      <c r="J624">
        <v>6</v>
      </c>
      <c r="K624">
        <v>0</v>
      </c>
    </row>
    <row r="625" spans="1:11" x14ac:dyDescent="0.15">
      <c r="A625" t="s">
        <v>184</v>
      </c>
      <c r="B625" t="s">
        <v>185</v>
      </c>
      <c r="C625" t="s">
        <v>910</v>
      </c>
      <c r="D625" t="s">
        <v>1451</v>
      </c>
      <c r="E625" t="s">
        <v>1452</v>
      </c>
      <c r="F625" t="s">
        <v>21</v>
      </c>
      <c r="G625" t="s">
        <v>21</v>
      </c>
      <c r="H625" t="s">
        <v>22</v>
      </c>
      <c r="I625">
        <v>21</v>
      </c>
      <c r="J625">
        <v>21</v>
      </c>
      <c r="K625">
        <v>0</v>
      </c>
    </row>
    <row r="626" spans="1:11" x14ac:dyDescent="0.15">
      <c r="A626" t="s">
        <v>184</v>
      </c>
      <c r="B626" t="s">
        <v>185</v>
      </c>
      <c r="C626" t="s">
        <v>791</v>
      </c>
      <c r="D626" t="s">
        <v>1453</v>
      </c>
      <c r="E626" t="s">
        <v>1454</v>
      </c>
      <c r="F626" t="s">
        <v>21</v>
      </c>
      <c r="G626" t="s">
        <v>21</v>
      </c>
      <c r="H626" t="s">
        <v>22</v>
      </c>
      <c r="I626">
        <v>59</v>
      </c>
      <c r="J626">
        <v>61</v>
      </c>
      <c r="K626">
        <v>2</v>
      </c>
    </row>
    <row r="627" spans="1:11" x14ac:dyDescent="0.15">
      <c r="A627" t="s">
        <v>184</v>
      </c>
      <c r="B627" t="s">
        <v>185</v>
      </c>
      <c r="C627" t="s">
        <v>791</v>
      </c>
      <c r="D627" t="s">
        <v>1455</v>
      </c>
      <c r="E627" t="s">
        <v>1456</v>
      </c>
      <c r="F627" t="s">
        <v>21</v>
      </c>
      <c r="G627" t="s">
        <v>21</v>
      </c>
      <c r="H627" t="s">
        <v>22</v>
      </c>
      <c r="I627">
        <v>111</v>
      </c>
      <c r="J627">
        <v>113</v>
      </c>
      <c r="K627">
        <v>2</v>
      </c>
    </row>
    <row r="628" spans="1:11" x14ac:dyDescent="0.15">
      <c r="A628" t="s">
        <v>184</v>
      </c>
      <c r="B628" t="s">
        <v>185</v>
      </c>
      <c r="C628" t="s">
        <v>791</v>
      </c>
      <c r="D628" t="s">
        <v>1457</v>
      </c>
      <c r="E628" t="s">
        <v>1458</v>
      </c>
      <c r="F628" t="s">
        <v>21</v>
      </c>
      <c r="G628" t="s">
        <v>21</v>
      </c>
      <c r="H628" t="s">
        <v>22</v>
      </c>
      <c r="I628">
        <v>8</v>
      </c>
      <c r="J628">
        <v>8</v>
      </c>
      <c r="K628">
        <v>0</v>
      </c>
    </row>
    <row r="629" spans="1:11" x14ac:dyDescent="0.15">
      <c r="A629" t="s">
        <v>184</v>
      </c>
      <c r="B629" t="s">
        <v>185</v>
      </c>
      <c r="C629" t="s">
        <v>791</v>
      </c>
      <c r="D629" t="s">
        <v>1459</v>
      </c>
      <c r="E629" t="s">
        <v>1460</v>
      </c>
      <c r="F629" t="s">
        <v>21</v>
      </c>
      <c r="G629" t="s">
        <v>21</v>
      </c>
      <c r="H629" t="s">
        <v>22</v>
      </c>
      <c r="I629">
        <v>9</v>
      </c>
      <c r="J629">
        <v>9</v>
      </c>
      <c r="K629">
        <v>0</v>
      </c>
    </row>
    <row r="630" spans="1:11" x14ac:dyDescent="0.15">
      <c r="A630" t="s">
        <v>184</v>
      </c>
      <c r="B630" t="s">
        <v>185</v>
      </c>
      <c r="C630" t="s">
        <v>791</v>
      </c>
      <c r="D630" t="s">
        <v>1461</v>
      </c>
      <c r="E630" t="s">
        <v>1462</v>
      </c>
      <c r="F630" t="s">
        <v>21</v>
      </c>
      <c r="G630" t="s">
        <v>21</v>
      </c>
      <c r="H630" t="s">
        <v>22</v>
      </c>
      <c r="I630">
        <v>1</v>
      </c>
      <c r="J630">
        <v>1</v>
      </c>
      <c r="K630">
        <v>0</v>
      </c>
    </row>
    <row r="631" spans="1:11" x14ac:dyDescent="0.15">
      <c r="A631" t="s">
        <v>184</v>
      </c>
      <c r="B631" t="s">
        <v>185</v>
      </c>
      <c r="C631" t="s">
        <v>791</v>
      </c>
      <c r="D631" t="s">
        <v>1463</v>
      </c>
      <c r="E631" t="s">
        <v>1464</v>
      </c>
      <c r="F631" t="s">
        <v>21</v>
      </c>
      <c r="G631" t="s">
        <v>21</v>
      </c>
      <c r="H631" t="s">
        <v>22</v>
      </c>
      <c r="I631">
        <v>22</v>
      </c>
      <c r="J631">
        <v>22</v>
      </c>
      <c r="K631">
        <v>0</v>
      </c>
    </row>
    <row r="632" spans="1:11" x14ac:dyDescent="0.15">
      <c r="A632" t="s">
        <v>184</v>
      </c>
      <c r="B632" t="s">
        <v>185</v>
      </c>
      <c r="C632" t="s">
        <v>791</v>
      </c>
      <c r="D632" t="s">
        <v>1465</v>
      </c>
      <c r="E632" t="s">
        <v>1466</v>
      </c>
      <c r="F632" t="s">
        <v>21</v>
      </c>
      <c r="G632" t="s">
        <v>21</v>
      </c>
      <c r="H632" t="s">
        <v>22</v>
      </c>
      <c r="I632">
        <v>84</v>
      </c>
      <c r="J632">
        <v>86</v>
      </c>
      <c r="K632">
        <v>2</v>
      </c>
    </row>
    <row r="633" spans="1:11" x14ac:dyDescent="0.15">
      <c r="A633" t="s">
        <v>184</v>
      </c>
      <c r="B633" t="s">
        <v>185</v>
      </c>
      <c r="C633" t="s">
        <v>190</v>
      </c>
      <c r="D633" t="s">
        <v>1467</v>
      </c>
      <c r="E633" t="s">
        <v>1468</v>
      </c>
      <c r="F633" t="s">
        <v>21</v>
      </c>
      <c r="G633" t="s">
        <v>21</v>
      </c>
      <c r="H633" t="s">
        <v>22</v>
      </c>
      <c r="I633">
        <v>152</v>
      </c>
      <c r="J633">
        <v>153</v>
      </c>
      <c r="K633">
        <v>1</v>
      </c>
    </row>
    <row r="634" spans="1:11" x14ac:dyDescent="0.15">
      <c r="A634" t="s">
        <v>184</v>
      </c>
      <c r="B634" t="s">
        <v>432</v>
      </c>
      <c r="C634" t="s">
        <v>873</v>
      </c>
      <c r="D634" t="s">
        <v>1469</v>
      </c>
      <c r="E634" t="s">
        <v>1470</v>
      </c>
      <c r="F634" t="s">
        <v>21</v>
      </c>
      <c r="G634" t="s">
        <v>21</v>
      </c>
      <c r="H634" t="s">
        <v>22</v>
      </c>
      <c r="I634">
        <v>1</v>
      </c>
      <c r="J634">
        <v>1</v>
      </c>
      <c r="K634">
        <v>0</v>
      </c>
    </row>
    <row r="635" spans="1:11" x14ac:dyDescent="0.15">
      <c r="A635" t="s">
        <v>184</v>
      </c>
      <c r="B635" t="s">
        <v>432</v>
      </c>
      <c r="C635" t="s">
        <v>835</v>
      </c>
      <c r="D635" t="s">
        <v>1471</v>
      </c>
      <c r="E635" t="s">
        <v>1472</v>
      </c>
      <c r="F635" t="s">
        <v>21</v>
      </c>
      <c r="G635" t="s">
        <v>21</v>
      </c>
      <c r="H635" t="s">
        <v>22</v>
      </c>
      <c r="I635">
        <v>51</v>
      </c>
      <c r="J635">
        <v>56</v>
      </c>
      <c r="K635">
        <v>5</v>
      </c>
    </row>
    <row r="636" spans="1:11" x14ac:dyDescent="0.15">
      <c r="A636" t="s">
        <v>184</v>
      </c>
      <c r="B636" t="s">
        <v>185</v>
      </c>
      <c r="C636" t="s">
        <v>586</v>
      </c>
      <c r="D636" t="s">
        <v>1473</v>
      </c>
      <c r="E636" t="s">
        <v>1474</v>
      </c>
      <c r="F636" t="s">
        <v>21</v>
      </c>
      <c r="G636" t="s">
        <v>21</v>
      </c>
      <c r="H636" t="s">
        <v>22</v>
      </c>
      <c r="I636">
        <v>10</v>
      </c>
      <c r="J636">
        <v>10</v>
      </c>
      <c r="K636">
        <v>0</v>
      </c>
    </row>
    <row r="637" spans="1:11" x14ac:dyDescent="0.15">
      <c r="A637" t="s">
        <v>184</v>
      </c>
      <c r="B637" t="s">
        <v>185</v>
      </c>
      <c r="C637" t="s">
        <v>586</v>
      </c>
      <c r="D637" t="s">
        <v>1475</v>
      </c>
      <c r="E637" t="s">
        <v>1476</v>
      </c>
      <c r="F637" t="s">
        <v>21</v>
      </c>
      <c r="G637" t="s">
        <v>21</v>
      </c>
      <c r="H637" t="s">
        <v>22</v>
      </c>
      <c r="I637">
        <v>10</v>
      </c>
      <c r="J637">
        <v>10</v>
      </c>
      <c r="K637">
        <v>0</v>
      </c>
    </row>
    <row r="638" spans="1:11" x14ac:dyDescent="0.15">
      <c r="A638" t="s">
        <v>184</v>
      </c>
      <c r="B638" t="s">
        <v>185</v>
      </c>
      <c r="C638" t="s">
        <v>586</v>
      </c>
      <c r="D638" t="s">
        <v>1477</v>
      </c>
      <c r="E638" t="s">
        <v>1478</v>
      </c>
      <c r="F638" t="s">
        <v>21</v>
      </c>
      <c r="G638" t="s">
        <v>21</v>
      </c>
      <c r="H638" t="s">
        <v>22</v>
      </c>
      <c r="I638">
        <v>4</v>
      </c>
      <c r="J638">
        <v>4</v>
      </c>
      <c r="K638">
        <v>0</v>
      </c>
    </row>
    <row r="639" spans="1:11" x14ac:dyDescent="0.15">
      <c r="A639" t="s">
        <v>184</v>
      </c>
      <c r="B639" t="s">
        <v>185</v>
      </c>
      <c r="C639" t="s">
        <v>586</v>
      </c>
      <c r="D639" t="s">
        <v>1479</v>
      </c>
      <c r="E639" t="s">
        <v>1480</v>
      </c>
      <c r="F639" t="s">
        <v>21</v>
      </c>
      <c r="G639" t="s">
        <v>21</v>
      </c>
      <c r="H639" t="s">
        <v>22</v>
      </c>
      <c r="I639">
        <v>3</v>
      </c>
      <c r="J639">
        <v>3</v>
      </c>
      <c r="K639">
        <v>0</v>
      </c>
    </row>
    <row r="640" spans="1:11" x14ac:dyDescent="0.15">
      <c r="A640" t="s">
        <v>184</v>
      </c>
      <c r="B640" t="s">
        <v>1481</v>
      </c>
      <c r="C640" t="s">
        <v>195</v>
      </c>
      <c r="D640" t="s">
        <v>1482</v>
      </c>
      <c r="E640" t="s">
        <v>1483</v>
      </c>
      <c r="F640" t="s">
        <v>21</v>
      </c>
      <c r="G640" t="s">
        <v>21</v>
      </c>
      <c r="H640" t="s">
        <v>22</v>
      </c>
      <c r="I640">
        <v>7</v>
      </c>
      <c r="J640">
        <v>7</v>
      </c>
      <c r="K640">
        <v>0</v>
      </c>
    </row>
    <row r="641" spans="1:11" x14ac:dyDescent="0.15">
      <c r="A641" t="s">
        <v>184</v>
      </c>
      <c r="B641" t="s">
        <v>743</v>
      </c>
      <c r="C641" t="s">
        <v>808</v>
      </c>
      <c r="D641" t="s">
        <v>1484</v>
      </c>
      <c r="E641" t="s">
        <v>1485</v>
      </c>
      <c r="F641" t="s">
        <v>21</v>
      </c>
      <c r="G641" t="s">
        <v>21</v>
      </c>
      <c r="H641" t="s">
        <v>22</v>
      </c>
      <c r="I641">
        <v>0</v>
      </c>
      <c r="J641">
        <v>1</v>
      </c>
      <c r="K641">
        <v>1</v>
      </c>
    </row>
    <row r="642" spans="1:11" x14ac:dyDescent="0.15">
      <c r="A642" t="s">
        <v>184</v>
      </c>
      <c r="B642" t="s">
        <v>743</v>
      </c>
      <c r="C642" t="s">
        <v>808</v>
      </c>
      <c r="D642" t="s">
        <v>1486</v>
      </c>
      <c r="E642" t="s">
        <v>1487</v>
      </c>
      <c r="F642" t="s">
        <v>21</v>
      </c>
      <c r="G642" t="s">
        <v>21</v>
      </c>
      <c r="H642" t="s">
        <v>22</v>
      </c>
      <c r="I642">
        <v>3</v>
      </c>
      <c r="J642">
        <v>3</v>
      </c>
      <c r="K642">
        <v>0</v>
      </c>
    </row>
    <row r="643" spans="1:11" x14ac:dyDescent="0.15">
      <c r="A643" t="s">
        <v>184</v>
      </c>
      <c r="B643" t="s">
        <v>432</v>
      </c>
      <c r="C643" t="s">
        <v>835</v>
      </c>
      <c r="D643" t="s">
        <v>1488</v>
      </c>
      <c r="E643" t="s">
        <v>1489</v>
      </c>
      <c r="F643" t="s">
        <v>21</v>
      </c>
      <c r="G643" t="s">
        <v>21</v>
      </c>
      <c r="H643" t="s">
        <v>22</v>
      </c>
      <c r="I643">
        <v>1</v>
      </c>
      <c r="J643">
        <v>1</v>
      </c>
      <c r="K643">
        <v>0</v>
      </c>
    </row>
    <row r="644" spans="1:11" x14ac:dyDescent="0.15">
      <c r="A644" t="s">
        <v>184</v>
      </c>
      <c r="B644" t="s">
        <v>432</v>
      </c>
      <c r="C644" t="s">
        <v>145</v>
      </c>
      <c r="D644" t="s">
        <v>1490</v>
      </c>
      <c r="E644" t="s">
        <v>1491</v>
      </c>
      <c r="F644" t="s">
        <v>21</v>
      </c>
      <c r="G644" t="s">
        <v>21</v>
      </c>
      <c r="H644" t="s">
        <v>22</v>
      </c>
      <c r="I644">
        <v>1</v>
      </c>
      <c r="J644">
        <v>1</v>
      </c>
      <c r="K644">
        <v>0</v>
      </c>
    </row>
    <row r="645" spans="1:11" x14ac:dyDescent="0.15">
      <c r="A645" t="s">
        <v>184</v>
      </c>
      <c r="B645" t="s">
        <v>432</v>
      </c>
      <c r="C645" t="s">
        <v>145</v>
      </c>
      <c r="D645" t="s">
        <v>1492</v>
      </c>
      <c r="E645" t="s">
        <v>1491</v>
      </c>
      <c r="F645" t="s">
        <v>21</v>
      </c>
      <c r="G645" t="s">
        <v>21</v>
      </c>
      <c r="H645" t="s">
        <v>22</v>
      </c>
      <c r="I645">
        <v>2</v>
      </c>
      <c r="J645">
        <v>2</v>
      </c>
      <c r="K645">
        <v>0</v>
      </c>
    </row>
    <row r="646" spans="1:11" x14ac:dyDescent="0.15">
      <c r="A646" t="s">
        <v>15</v>
      </c>
      <c r="B646" t="s">
        <v>566</v>
      </c>
      <c r="C646" t="s">
        <v>830</v>
      </c>
      <c r="D646" t="s">
        <v>1493</v>
      </c>
      <c r="E646" t="s">
        <v>1494</v>
      </c>
      <c r="F646" t="s">
        <v>21</v>
      </c>
      <c r="G646" t="s">
        <v>21</v>
      </c>
      <c r="H646" t="s">
        <v>22</v>
      </c>
      <c r="I646">
        <v>14</v>
      </c>
      <c r="J646">
        <v>14</v>
      </c>
      <c r="K646">
        <v>0</v>
      </c>
    </row>
    <row r="647" spans="1:11" x14ac:dyDescent="0.15">
      <c r="A647" t="s">
        <v>15</v>
      </c>
      <c r="B647" t="s">
        <v>566</v>
      </c>
      <c r="C647" t="s">
        <v>830</v>
      </c>
      <c r="D647" t="s">
        <v>1495</v>
      </c>
      <c r="E647" t="s">
        <v>1496</v>
      </c>
      <c r="F647" t="s">
        <v>21</v>
      </c>
      <c r="G647" t="s">
        <v>21</v>
      </c>
      <c r="H647" t="s">
        <v>22</v>
      </c>
      <c r="I647">
        <v>1</v>
      </c>
      <c r="J647">
        <v>21</v>
      </c>
      <c r="K647">
        <v>20</v>
      </c>
    </row>
    <row r="648" spans="1:11" x14ac:dyDescent="0.15">
      <c r="A648" t="s">
        <v>15</v>
      </c>
      <c r="B648" t="s">
        <v>566</v>
      </c>
      <c r="C648" t="s">
        <v>830</v>
      </c>
      <c r="D648" t="s">
        <v>1497</v>
      </c>
      <c r="E648" t="s">
        <v>1498</v>
      </c>
      <c r="F648" t="s">
        <v>21</v>
      </c>
      <c r="G648" t="s">
        <v>21</v>
      </c>
      <c r="H648" t="s">
        <v>22</v>
      </c>
      <c r="I648">
        <v>246</v>
      </c>
      <c r="J648">
        <v>275</v>
      </c>
      <c r="K648">
        <v>29</v>
      </c>
    </row>
    <row r="649" spans="1:11" x14ac:dyDescent="0.15">
      <c r="A649" t="s">
        <v>15</v>
      </c>
      <c r="B649" t="s">
        <v>566</v>
      </c>
      <c r="C649" t="s">
        <v>830</v>
      </c>
      <c r="D649" t="s">
        <v>1499</v>
      </c>
      <c r="E649" t="s">
        <v>1500</v>
      </c>
      <c r="F649" t="s">
        <v>21</v>
      </c>
      <c r="G649" t="s">
        <v>21</v>
      </c>
      <c r="H649" t="s">
        <v>22</v>
      </c>
      <c r="I649">
        <v>18</v>
      </c>
      <c r="J649">
        <v>32</v>
      </c>
      <c r="K649">
        <v>14</v>
      </c>
    </row>
    <row r="650" spans="1:11" x14ac:dyDescent="0.15">
      <c r="A650" t="s">
        <v>15</v>
      </c>
      <c r="B650" t="s">
        <v>566</v>
      </c>
      <c r="C650" t="s">
        <v>830</v>
      </c>
      <c r="D650" t="s">
        <v>1501</v>
      </c>
      <c r="E650" t="s">
        <v>1502</v>
      </c>
      <c r="F650" t="s">
        <v>21</v>
      </c>
      <c r="G650" t="s">
        <v>21</v>
      </c>
      <c r="H650" t="s">
        <v>22</v>
      </c>
      <c r="I650">
        <v>18</v>
      </c>
      <c r="J650">
        <v>18</v>
      </c>
      <c r="K650">
        <v>0</v>
      </c>
    </row>
    <row r="651" spans="1:11" x14ac:dyDescent="0.15">
      <c r="A651" t="s">
        <v>15</v>
      </c>
      <c r="B651" t="s">
        <v>566</v>
      </c>
      <c r="C651" t="s">
        <v>830</v>
      </c>
      <c r="D651" t="s">
        <v>1503</v>
      </c>
      <c r="E651" t="s">
        <v>1504</v>
      </c>
      <c r="F651" t="s">
        <v>21</v>
      </c>
      <c r="G651" t="s">
        <v>21</v>
      </c>
      <c r="H651" t="s">
        <v>22</v>
      </c>
      <c r="I651">
        <v>6</v>
      </c>
      <c r="J651">
        <v>6</v>
      </c>
      <c r="K651">
        <v>0</v>
      </c>
    </row>
    <row r="652" spans="1:11" x14ac:dyDescent="0.15">
      <c r="A652" t="s">
        <v>184</v>
      </c>
      <c r="B652" t="s">
        <v>185</v>
      </c>
      <c r="C652" t="s">
        <v>195</v>
      </c>
      <c r="D652" t="s">
        <v>1505</v>
      </c>
      <c r="E652" t="s">
        <v>1506</v>
      </c>
      <c r="F652" t="s">
        <v>21</v>
      </c>
      <c r="G652" t="s">
        <v>21</v>
      </c>
      <c r="H652" t="s">
        <v>22</v>
      </c>
      <c r="I652">
        <v>1</v>
      </c>
      <c r="J652">
        <v>5</v>
      </c>
      <c r="K652">
        <v>4</v>
      </c>
    </row>
    <row r="653" spans="1:11" x14ac:dyDescent="0.15">
      <c r="A653" t="s">
        <v>184</v>
      </c>
      <c r="B653" t="s">
        <v>185</v>
      </c>
      <c r="C653" t="s">
        <v>195</v>
      </c>
      <c r="D653" t="s">
        <v>1507</v>
      </c>
      <c r="E653" t="s">
        <v>1508</v>
      </c>
      <c r="F653" t="s">
        <v>21</v>
      </c>
      <c r="G653" t="s">
        <v>21</v>
      </c>
      <c r="H653" t="s">
        <v>22</v>
      </c>
      <c r="I653">
        <v>35</v>
      </c>
      <c r="J653">
        <v>39</v>
      </c>
      <c r="K653">
        <v>4</v>
      </c>
    </row>
    <row r="654" spans="1:11" x14ac:dyDescent="0.15">
      <c r="A654" t="s">
        <v>184</v>
      </c>
      <c r="B654" t="s">
        <v>185</v>
      </c>
      <c r="C654" t="s">
        <v>195</v>
      </c>
      <c r="D654" t="s">
        <v>1509</v>
      </c>
      <c r="E654" t="s">
        <v>1510</v>
      </c>
      <c r="F654" t="s">
        <v>21</v>
      </c>
      <c r="G654" t="s">
        <v>21</v>
      </c>
      <c r="H654" t="s">
        <v>22</v>
      </c>
      <c r="I654">
        <v>10</v>
      </c>
      <c r="J654">
        <v>20</v>
      </c>
      <c r="K654">
        <v>10</v>
      </c>
    </row>
    <row r="655" spans="1:11" x14ac:dyDescent="0.15">
      <c r="A655" t="s">
        <v>184</v>
      </c>
      <c r="B655" t="s">
        <v>185</v>
      </c>
      <c r="C655" t="s">
        <v>195</v>
      </c>
      <c r="D655" t="s">
        <v>1511</v>
      </c>
      <c r="E655" t="s">
        <v>1512</v>
      </c>
      <c r="F655" t="s">
        <v>21</v>
      </c>
      <c r="G655" t="s">
        <v>21</v>
      </c>
      <c r="H655" t="s">
        <v>22</v>
      </c>
      <c r="I655">
        <v>1</v>
      </c>
      <c r="J655">
        <v>1</v>
      </c>
      <c r="K655">
        <v>0</v>
      </c>
    </row>
    <row r="656" spans="1:11" x14ac:dyDescent="0.15">
      <c r="A656" t="s">
        <v>184</v>
      </c>
      <c r="B656" t="s">
        <v>185</v>
      </c>
      <c r="C656" t="s">
        <v>195</v>
      </c>
      <c r="D656" t="s">
        <v>1513</v>
      </c>
      <c r="E656" t="s">
        <v>1514</v>
      </c>
      <c r="F656" t="s">
        <v>21</v>
      </c>
      <c r="G656" t="s">
        <v>21</v>
      </c>
      <c r="H656" t="s">
        <v>22</v>
      </c>
      <c r="I656">
        <v>26</v>
      </c>
      <c r="J656">
        <v>31</v>
      </c>
      <c r="K656">
        <v>5</v>
      </c>
    </row>
    <row r="657" spans="1:11" x14ac:dyDescent="0.15">
      <c r="A657" t="s">
        <v>184</v>
      </c>
      <c r="B657" t="s">
        <v>185</v>
      </c>
      <c r="C657" t="s">
        <v>195</v>
      </c>
      <c r="D657" t="s">
        <v>1515</v>
      </c>
      <c r="E657" t="s">
        <v>1516</v>
      </c>
      <c r="F657" t="s">
        <v>21</v>
      </c>
      <c r="G657" t="s">
        <v>21</v>
      </c>
      <c r="H657" t="s">
        <v>22</v>
      </c>
      <c r="I657">
        <v>0</v>
      </c>
      <c r="J657">
        <v>1</v>
      </c>
      <c r="K657">
        <v>1</v>
      </c>
    </row>
    <row r="658" spans="1:11" x14ac:dyDescent="0.15">
      <c r="A658" t="s">
        <v>184</v>
      </c>
      <c r="B658" t="s">
        <v>185</v>
      </c>
      <c r="C658" t="s">
        <v>195</v>
      </c>
      <c r="D658" t="s">
        <v>1517</v>
      </c>
      <c r="E658" t="s">
        <v>1518</v>
      </c>
      <c r="F658" t="s">
        <v>21</v>
      </c>
      <c r="G658" t="s">
        <v>21</v>
      </c>
      <c r="H658" t="s">
        <v>22</v>
      </c>
      <c r="I658">
        <v>0</v>
      </c>
      <c r="J658">
        <v>1</v>
      </c>
      <c r="K658">
        <v>1</v>
      </c>
    </row>
    <row r="659" spans="1:11" x14ac:dyDescent="0.15">
      <c r="A659" t="s">
        <v>184</v>
      </c>
      <c r="B659" t="s">
        <v>185</v>
      </c>
      <c r="C659" t="s">
        <v>195</v>
      </c>
      <c r="D659" t="s">
        <v>1519</v>
      </c>
      <c r="E659" t="s">
        <v>1520</v>
      </c>
      <c r="F659" t="s">
        <v>21</v>
      </c>
      <c r="G659" t="s">
        <v>21</v>
      </c>
      <c r="H659" t="s">
        <v>22</v>
      </c>
      <c r="I659">
        <v>1</v>
      </c>
      <c r="J659">
        <v>2</v>
      </c>
      <c r="K659">
        <v>1</v>
      </c>
    </row>
    <row r="660" spans="1:11" x14ac:dyDescent="0.15">
      <c r="A660" t="s">
        <v>184</v>
      </c>
      <c r="B660" t="s">
        <v>185</v>
      </c>
      <c r="C660" t="s">
        <v>195</v>
      </c>
      <c r="D660" t="s">
        <v>1521</v>
      </c>
      <c r="E660" t="s">
        <v>1522</v>
      </c>
      <c r="F660" t="s">
        <v>21</v>
      </c>
      <c r="G660" t="s">
        <v>21</v>
      </c>
      <c r="H660" t="s">
        <v>22</v>
      </c>
      <c r="I660">
        <v>13</v>
      </c>
      <c r="J660">
        <v>13</v>
      </c>
      <c r="K660">
        <v>0</v>
      </c>
    </row>
    <row r="661" spans="1:11" x14ac:dyDescent="0.15">
      <c r="A661" t="s">
        <v>184</v>
      </c>
      <c r="B661" t="s">
        <v>185</v>
      </c>
      <c r="C661" t="s">
        <v>195</v>
      </c>
      <c r="D661" t="s">
        <v>1523</v>
      </c>
      <c r="E661" t="s">
        <v>1524</v>
      </c>
      <c r="F661" t="s">
        <v>21</v>
      </c>
      <c r="G661" t="s">
        <v>21</v>
      </c>
      <c r="H661" t="s">
        <v>22</v>
      </c>
      <c r="I661">
        <v>6</v>
      </c>
      <c r="J661">
        <v>6</v>
      </c>
      <c r="K661">
        <v>0</v>
      </c>
    </row>
    <row r="662" spans="1:11" x14ac:dyDescent="0.15">
      <c r="A662" t="s">
        <v>184</v>
      </c>
      <c r="B662" t="s">
        <v>185</v>
      </c>
      <c r="C662" t="s">
        <v>195</v>
      </c>
      <c r="D662" t="s">
        <v>1525</v>
      </c>
      <c r="E662" t="s">
        <v>1526</v>
      </c>
      <c r="F662" t="s">
        <v>21</v>
      </c>
      <c r="G662" t="s">
        <v>21</v>
      </c>
      <c r="H662" t="s">
        <v>22</v>
      </c>
      <c r="I662">
        <v>12</v>
      </c>
      <c r="J662">
        <v>12</v>
      </c>
      <c r="K662">
        <v>0</v>
      </c>
    </row>
    <row r="663" spans="1:11" x14ac:dyDescent="0.15">
      <c r="A663" t="s">
        <v>184</v>
      </c>
      <c r="B663" t="s">
        <v>185</v>
      </c>
      <c r="C663" t="s">
        <v>195</v>
      </c>
      <c r="D663" t="s">
        <v>1527</v>
      </c>
      <c r="E663" t="s">
        <v>1528</v>
      </c>
      <c r="F663" t="s">
        <v>21</v>
      </c>
      <c r="G663" t="s">
        <v>21</v>
      </c>
      <c r="H663" t="s">
        <v>22</v>
      </c>
      <c r="I663">
        <v>2</v>
      </c>
      <c r="J663">
        <v>2</v>
      </c>
      <c r="K663">
        <v>0</v>
      </c>
    </row>
    <row r="664" spans="1:11" x14ac:dyDescent="0.15">
      <c r="A664" t="s">
        <v>184</v>
      </c>
      <c r="B664" t="s">
        <v>185</v>
      </c>
      <c r="C664" t="s">
        <v>195</v>
      </c>
      <c r="D664" t="s">
        <v>1529</v>
      </c>
      <c r="E664" t="s">
        <v>1530</v>
      </c>
      <c r="F664" t="s">
        <v>21</v>
      </c>
      <c r="G664" t="s">
        <v>21</v>
      </c>
      <c r="H664" t="s">
        <v>22</v>
      </c>
      <c r="I664">
        <v>5</v>
      </c>
      <c r="J664">
        <v>5</v>
      </c>
      <c r="K664">
        <v>0</v>
      </c>
    </row>
    <row r="665" spans="1:11" x14ac:dyDescent="0.15">
      <c r="A665" t="s">
        <v>184</v>
      </c>
      <c r="B665" t="s">
        <v>185</v>
      </c>
      <c r="C665" t="s">
        <v>195</v>
      </c>
      <c r="D665" t="s">
        <v>1531</v>
      </c>
      <c r="E665" t="s">
        <v>1532</v>
      </c>
      <c r="F665" t="s">
        <v>21</v>
      </c>
      <c r="G665" t="s">
        <v>21</v>
      </c>
      <c r="H665" t="s">
        <v>22</v>
      </c>
      <c r="I665">
        <v>1</v>
      </c>
      <c r="J665">
        <v>1</v>
      </c>
      <c r="K665">
        <v>0</v>
      </c>
    </row>
    <row r="666" spans="1:11" x14ac:dyDescent="0.15">
      <c r="A666" t="s">
        <v>184</v>
      </c>
      <c r="B666" t="s">
        <v>185</v>
      </c>
      <c r="C666" t="s">
        <v>195</v>
      </c>
      <c r="D666" t="s">
        <v>1533</v>
      </c>
      <c r="E666" t="s">
        <v>1534</v>
      </c>
      <c r="F666" t="s">
        <v>21</v>
      </c>
      <c r="G666" t="s">
        <v>21</v>
      </c>
      <c r="H666" t="s">
        <v>22</v>
      </c>
      <c r="I666">
        <v>7</v>
      </c>
      <c r="J666">
        <v>7</v>
      </c>
      <c r="K666">
        <v>0</v>
      </c>
    </row>
    <row r="667" spans="1:11" x14ac:dyDescent="0.15">
      <c r="A667" t="s">
        <v>184</v>
      </c>
      <c r="B667" t="s">
        <v>185</v>
      </c>
      <c r="C667" t="s">
        <v>195</v>
      </c>
      <c r="D667" t="s">
        <v>1535</v>
      </c>
      <c r="E667" t="s">
        <v>1536</v>
      </c>
      <c r="F667" t="s">
        <v>21</v>
      </c>
      <c r="G667" t="s">
        <v>21</v>
      </c>
      <c r="H667" t="s">
        <v>22</v>
      </c>
      <c r="I667">
        <v>8</v>
      </c>
      <c r="J667">
        <v>8</v>
      </c>
      <c r="K667">
        <v>0</v>
      </c>
    </row>
    <row r="668" spans="1:11" x14ac:dyDescent="0.15">
      <c r="A668" t="s">
        <v>184</v>
      </c>
      <c r="B668" t="s">
        <v>185</v>
      </c>
      <c r="C668" t="s">
        <v>195</v>
      </c>
      <c r="D668" t="s">
        <v>1537</v>
      </c>
      <c r="E668" t="s">
        <v>1538</v>
      </c>
      <c r="F668" t="s">
        <v>21</v>
      </c>
      <c r="G668" t="s">
        <v>21</v>
      </c>
      <c r="H668" t="s">
        <v>22</v>
      </c>
      <c r="I668">
        <v>4</v>
      </c>
      <c r="J668">
        <v>4</v>
      </c>
      <c r="K668">
        <v>0</v>
      </c>
    </row>
    <row r="669" spans="1:11" x14ac:dyDescent="0.15">
      <c r="A669" t="s">
        <v>184</v>
      </c>
      <c r="B669" t="s">
        <v>185</v>
      </c>
      <c r="C669" t="s">
        <v>195</v>
      </c>
      <c r="D669" t="s">
        <v>1539</v>
      </c>
      <c r="E669" t="s">
        <v>1540</v>
      </c>
      <c r="F669" t="s">
        <v>21</v>
      </c>
      <c r="G669" t="s">
        <v>21</v>
      </c>
      <c r="H669" t="s">
        <v>22</v>
      </c>
      <c r="I669">
        <v>5</v>
      </c>
      <c r="J669">
        <v>5</v>
      </c>
      <c r="K669">
        <v>0</v>
      </c>
    </row>
    <row r="670" spans="1:11" x14ac:dyDescent="0.15">
      <c r="A670" t="s">
        <v>184</v>
      </c>
      <c r="B670" t="s">
        <v>185</v>
      </c>
      <c r="C670" t="s">
        <v>195</v>
      </c>
      <c r="D670" t="s">
        <v>1541</v>
      </c>
      <c r="E670" t="s">
        <v>1542</v>
      </c>
      <c r="F670" t="s">
        <v>21</v>
      </c>
      <c r="G670" t="s">
        <v>21</v>
      </c>
      <c r="H670" t="s">
        <v>22</v>
      </c>
      <c r="I670">
        <v>11</v>
      </c>
      <c r="J670">
        <v>11</v>
      </c>
      <c r="K670">
        <v>0</v>
      </c>
    </row>
    <row r="671" spans="1:11" x14ac:dyDescent="0.15">
      <c r="A671" t="s">
        <v>184</v>
      </c>
      <c r="B671" t="s">
        <v>185</v>
      </c>
      <c r="C671" t="s">
        <v>195</v>
      </c>
      <c r="D671" t="s">
        <v>1543</v>
      </c>
      <c r="E671" t="s">
        <v>1544</v>
      </c>
      <c r="F671" t="s">
        <v>21</v>
      </c>
      <c r="G671" t="s">
        <v>21</v>
      </c>
      <c r="H671" t="s">
        <v>22</v>
      </c>
      <c r="I671">
        <v>2</v>
      </c>
      <c r="J671">
        <v>5</v>
      </c>
      <c r="K671">
        <v>3</v>
      </c>
    </row>
    <row r="672" spans="1:11" x14ac:dyDescent="0.15">
      <c r="A672" t="s">
        <v>184</v>
      </c>
      <c r="B672" t="s">
        <v>185</v>
      </c>
      <c r="C672" t="s">
        <v>195</v>
      </c>
      <c r="D672" t="s">
        <v>1545</v>
      </c>
      <c r="E672" t="s">
        <v>1546</v>
      </c>
      <c r="F672" t="s">
        <v>21</v>
      </c>
      <c r="G672" t="s">
        <v>21</v>
      </c>
      <c r="H672" t="s">
        <v>22</v>
      </c>
      <c r="I672">
        <v>36</v>
      </c>
      <c r="J672">
        <v>39</v>
      </c>
      <c r="K672">
        <v>3</v>
      </c>
    </row>
    <row r="673" spans="1:11" x14ac:dyDescent="0.15">
      <c r="A673" t="s">
        <v>184</v>
      </c>
      <c r="B673" t="s">
        <v>185</v>
      </c>
      <c r="C673" t="s">
        <v>195</v>
      </c>
      <c r="D673" t="s">
        <v>1547</v>
      </c>
      <c r="E673" t="s">
        <v>1510</v>
      </c>
      <c r="F673" t="s">
        <v>21</v>
      </c>
      <c r="G673" t="s">
        <v>21</v>
      </c>
      <c r="H673" t="s">
        <v>22</v>
      </c>
      <c r="I673">
        <v>9</v>
      </c>
      <c r="J673">
        <v>20</v>
      </c>
      <c r="K673">
        <v>11</v>
      </c>
    </row>
    <row r="674" spans="1:11" x14ac:dyDescent="0.15">
      <c r="A674" t="s">
        <v>184</v>
      </c>
      <c r="B674" t="s">
        <v>185</v>
      </c>
      <c r="C674" t="s">
        <v>195</v>
      </c>
      <c r="D674" t="s">
        <v>1548</v>
      </c>
      <c r="E674" t="s">
        <v>1549</v>
      </c>
      <c r="F674" t="s">
        <v>21</v>
      </c>
      <c r="G674" t="s">
        <v>21</v>
      </c>
      <c r="H674" t="s">
        <v>22</v>
      </c>
      <c r="I674">
        <v>23</v>
      </c>
      <c r="J674">
        <v>27</v>
      </c>
      <c r="K674">
        <v>4</v>
      </c>
    </row>
    <row r="675" spans="1:11" x14ac:dyDescent="0.15">
      <c r="A675" t="s">
        <v>184</v>
      </c>
      <c r="B675" t="s">
        <v>185</v>
      </c>
      <c r="C675" t="s">
        <v>195</v>
      </c>
      <c r="D675" t="s">
        <v>1550</v>
      </c>
      <c r="E675" t="s">
        <v>1551</v>
      </c>
      <c r="F675" t="s">
        <v>21</v>
      </c>
      <c r="G675" t="s">
        <v>21</v>
      </c>
      <c r="H675" t="s">
        <v>22</v>
      </c>
      <c r="I675">
        <v>1</v>
      </c>
      <c r="J675">
        <v>1</v>
      </c>
      <c r="K675">
        <v>0</v>
      </c>
    </row>
    <row r="676" spans="1:11" x14ac:dyDescent="0.15">
      <c r="A676" t="s">
        <v>184</v>
      </c>
      <c r="B676" t="s">
        <v>185</v>
      </c>
      <c r="C676" t="s">
        <v>195</v>
      </c>
      <c r="D676" t="s">
        <v>1552</v>
      </c>
      <c r="E676" t="s">
        <v>1553</v>
      </c>
      <c r="F676" t="s">
        <v>21</v>
      </c>
      <c r="G676" t="s">
        <v>21</v>
      </c>
      <c r="H676" t="s">
        <v>22</v>
      </c>
      <c r="I676">
        <v>0</v>
      </c>
      <c r="J676">
        <v>1</v>
      </c>
      <c r="K676">
        <v>1</v>
      </c>
    </row>
    <row r="677" spans="1:11" x14ac:dyDescent="0.15">
      <c r="A677" t="s">
        <v>184</v>
      </c>
      <c r="B677" t="s">
        <v>185</v>
      </c>
      <c r="C677" t="s">
        <v>195</v>
      </c>
      <c r="D677" t="s">
        <v>1554</v>
      </c>
      <c r="E677" t="s">
        <v>1555</v>
      </c>
      <c r="F677" t="s">
        <v>21</v>
      </c>
      <c r="G677" t="s">
        <v>21</v>
      </c>
      <c r="H677" t="s">
        <v>22</v>
      </c>
      <c r="I677">
        <v>0</v>
      </c>
      <c r="J677">
        <v>1</v>
      </c>
      <c r="K677">
        <v>1</v>
      </c>
    </row>
    <row r="678" spans="1:11" x14ac:dyDescent="0.15">
      <c r="A678" t="s">
        <v>184</v>
      </c>
      <c r="B678" t="s">
        <v>185</v>
      </c>
      <c r="C678" t="s">
        <v>195</v>
      </c>
      <c r="D678" t="s">
        <v>1556</v>
      </c>
      <c r="E678" t="s">
        <v>1557</v>
      </c>
      <c r="F678" t="s">
        <v>21</v>
      </c>
      <c r="G678" t="s">
        <v>21</v>
      </c>
      <c r="H678" t="s">
        <v>22</v>
      </c>
      <c r="I678">
        <v>13</v>
      </c>
      <c r="J678">
        <v>13</v>
      </c>
      <c r="K678">
        <v>0</v>
      </c>
    </row>
    <row r="679" spans="1:11" x14ac:dyDescent="0.15">
      <c r="A679" t="s">
        <v>184</v>
      </c>
      <c r="B679" t="s">
        <v>185</v>
      </c>
      <c r="C679" t="s">
        <v>195</v>
      </c>
      <c r="D679" t="s">
        <v>1558</v>
      </c>
      <c r="E679" t="s">
        <v>1559</v>
      </c>
      <c r="F679" t="s">
        <v>21</v>
      </c>
      <c r="G679" t="s">
        <v>21</v>
      </c>
      <c r="H679" t="s">
        <v>22</v>
      </c>
      <c r="I679">
        <v>6</v>
      </c>
      <c r="J679">
        <v>6</v>
      </c>
      <c r="K679">
        <v>0</v>
      </c>
    </row>
    <row r="680" spans="1:11" x14ac:dyDescent="0.15">
      <c r="A680" t="s">
        <v>184</v>
      </c>
      <c r="B680" t="s">
        <v>185</v>
      </c>
      <c r="C680" t="s">
        <v>195</v>
      </c>
      <c r="D680" t="s">
        <v>1560</v>
      </c>
      <c r="E680" t="s">
        <v>1561</v>
      </c>
      <c r="F680" t="s">
        <v>21</v>
      </c>
      <c r="G680" t="s">
        <v>21</v>
      </c>
      <c r="H680" t="s">
        <v>22</v>
      </c>
      <c r="I680">
        <v>15</v>
      </c>
      <c r="J680">
        <v>15</v>
      </c>
      <c r="K680">
        <v>0</v>
      </c>
    </row>
    <row r="681" spans="1:11" x14ac:dyDescent="0.15">
      <c r="A681" t="s">
        <v>184</v>
      </c>
      <c r="B681" t="s">
        <v>185</v>
      </c>
      <c r="C681" t="s">
        <v>195</v>
      </c>
      <c r="D681" t="s">
        <v>1562</v>
      </c>
      <c r="E681" t="s">
        <v>1563</v>
      </c>
      <c r="F681" t="s">
        <v>21</v>
      </c>
      <c r="G681" t="s">
        <v>21</v>
      </c>
      <c r="H681" t="s">
        <v>22</v>
      </c>
      <c r="I681">
        <v>5</v>
      </c>
      <c r="J681">
        <v>5</v>
      </c>
      <c r="K681">
        <v>0</v>
      </c>
    </row>
    <row r="682" spans="1:11" x14ac:dyDescent="0.15">
      <c r="A682" t="s">
        <v>184</v>
      </c>
      <c r="B682" t="s">
        <v>185</v>
      </c>
      <c r="C682" t="s">
        <v>195</v>
      </c>
      <c r="D682" t="s">
        <v>1564</v>
      </c>
      <c r="E682" t="s">
        <v>1565</v>
      </c>
      <c r="F682" t="s">
        <v>21</v>
      </c>
      <c r="G682" t="s">
        <v>21</v>
      </c>
      <c r="H682" t="s">
        <v>22</v>
      </c>
      <c r="I682">
        <v>1</v>
      </c>
      <c r="J682">
        <v>1</v>
      </c>
      <c r="K682">
        <v>0</v>
      </c>
    </row>
    <row r="683" spans="1:11" x14ac:dyDescent="0.15">
      <c r="A683" t="s">
        <v>184</v>
      </c>
      <c r="B683" t="s">
        <v>185</v>
      </c>
      <c r="C683" t="s">
        <v>195</v>
      </c>
      <c r="D683" t="s">
        <v>1566</v>
      </c>
      <c r="E683" t="s">
        <v>1567</v>
      </c>
      <c r="F683" t="s">
        <v>21</v>
      </c>
      <c r="G683" t="s">
        <v>21</v>
      </c>
      <c r="H683" t="s">
        <v>22</v>
      </c>
      <c r="I683">
        <v>7</v>
      </c>
      <c r="J683">
        <v>7</v>
      </c>
      <c r="K683">
        <v>0</v>
      </c>
    </row>
    <row r="684" spans="1:11" x14ac:dyDescent="0.15">
      <c r="A684" t="s">
        <v>184</v>
      </c>
      <c r="B684" t="s">
        <v>185</v>
      </c>
      <c r="C684" t="s">
        <v>195</v>
      </c>
      <c r="D684" t="s">
        <v>1568</v>
      </c>
      <c r="E684" t="s">
        <v>1569</v>
      </c>
      <c r="F684" t="s">
        <v>21</v>
      </c>
      <c r="G684" t="s">
        <v>21</v>
      </c>
      <c r="H684" t="s">
        <v>22</v>
      </c>
      <c r="I684">
        <v>8</v>
      </c>
      <c r="J684">
        <v>8</v>
      </c>
      <c r="K684">
        <v>0</v>
      </c>
    </row>
    <row r="685" spans="1:11" x14ac:dyDescent="0.15">
      <c r="A685" t="s">
        <v>184</v>
      </c>
      <c r="B685" t="s">
        <v>185</v>
      </c>
      <c r="C685" t="s">
        <v>195</v>
      </c>
      <c r="D685" t="s">
        <v>1570</v>
      </c>
      <c r="E685" t="s">
        <v>1571</v>
      </c>
      <c r="F685" t="s">
        <v>21</v>
      </c>
      <c r="G685" t="s">
        <v>21</v>
      </c>
      <c r="H685" t="s">
        <v>22</v>
      </c>
      <c r="I685">
        <v>1</v>
      </c>
      <c r="J685">
        <v>1</v>
      </c>
      <c r="K685">
        <v>0</v>
      </c>
    </row>
    <row r="686" spans="1:11" x14ac:dyDescent="0.15">
      <c r="A686" t="s">
        <v>184</v>
      </c>
      <c r="B686" t="s">
        <v>185</v>
      </c>
      <c r="C686" t="s">
        <v>195</v>
      </c>
      <c r="D686" t="s">
        <v>1572</v>
      </c>
      <c r="E686" t="s">
        <v>1573</v>
      </c>
      <c r="F686" t="s">
        <v>21</v>
      </c>
      <c r="G686" t="s">
        <v>21</v>
      </c>
      <c r="H686" t="s">
        <v>22</v>
      </c>
      <c r="I686">
        <v>3</v>
      </c>
      <c r="J686">
        <v>3</v>
      </c>
      <c r="K686">
        <v>0</v>
      </c>
    </row>
    <row r="687" spans="1:11" x14ac:dyDescent="0.15">
      <c r="A687" t="s">
        <v>184</v>
      </c>
      <c r="B687" t="s">
        <v>185</v>
      </c>
      <c r="C687" t="s">
        <v>195</v>
      </c>
      <c r="D687" t="s">
        <v>1574</v>
      </c>
      <c r="E687" t="s">
        <v>1575</v>
      </c>
      <c r="F687" t="s">
        <v>21</v>
      </c>
      <c r="G687" t="s">
        <v>21</v>
      </c>
      <c r="H687" t="s">
        <v>22</v>
      </c>
      <c r="I687">
        <v>5</v>
      </c>
      <c r="J687">
        <v>5</v>
      </c>
      <c r="K687">
        <v>0</v>
      </c>
    </row>
    <row r="688" spans="1:11" x14ac:dyDescent="0.15">
      <c r="A688" t="s">
        <v>184</v>
      </c>
      <c r="B688" t="s">
        <v>185</v>
      </c>
      <c r="C688" t="s">
        <v>195</v>
      </c>
      <c r="D688" t="s">
        <v>1576</v>
      </c>
      <c r="E688" t="s">
        <v>1577</v>
      </c>
      <c r="F688" t="s">
        <v>21</v>
      </c>
      <c r="G688" t="s">
        <v>21</v>
      </c>
      <c r="H688" t="s">
        <v>22</v>
      </c>
      <c r="I688">
        <v>11</v>
      </c>
      <c r="J688">
        <v>11</v>
      </c>
      <c r="K688">
        <v>0</v>
      </c>
    </row>
    <row r="689" spans="1:11" x14ac:dyDescent="0.15">
      <c r="A689" t="s">
        <v>138</v>
      </c>
      <c r="B689" t="s">
        <v>1578</v>
      </c>
      <c r="C689" t="s">
        <v>1579</v>
      </c>
      <c r="D689" t="s">
        <v>1580</v>
      </c>
      <c r="E689" t="s">
        <v>1581</v>
      </c>
      <c r="F689" t="s">
        <v>21</v>
      </c>
      <c r="G689" t="s">
        <v>21</v>
      </c>
      <c r="H689" t="s">
        <v>22</v>
      </c>
      <c r="I689">
        <v>1</v>
      </c>
      <c r="J689">
        <v>1</v>
      </c>
      <c r="K689">
        <v>0</v>
      </c>
    </row>
    <row r="690" spans="1:11" x14ac:dyDescent="0.15">
      <c r="A690" t="s">
        <v>15</v>
      </c>
      <c r="B690" t="s">
        <v>49</v>
      </c>
      <c r="C690" t="s">
        <v>944</v>
      </c>
      <c r="D690" t="s">
        <v>1582</v>
      </c>
      <c r="E690" t="s">
        <v>1583</v>
      </c>
      <c r="F690" t="s">
        <v>21</v>
      </c>
      <c r="G690" t="s">
        <v>21</v>
      </c>
      <c r="H690" t="s">
        <v>22</v>
      </c>
      <c r="I690">
        <v>0</v>
      </c>
      <c r="J690">
        <v>2</v>
      </c>
      <c r="K690">
        <v>2</v>
      </c>
    </row>
    <row r="691" spans="1:11" x14ac:dyDescent="0.15">
      <c r="A691" t="s">
        <v>310</v>
      </c>
      <c r="B691" t="s">
        <v>1584</v>
      </c>
      <c r="C691" t="s">
        <v>1585</v>
      </c>
      <c r="D691" t="s">
        <v>1586</v>
      </c>
      <c r="E691" t="s">
        <v>1587</v>
      </c>
      <c r="F691" t="s">
        <v>21</v>
      </c>
      <c r="G691" t="s">
        <v>21</v>
      </c>
      <c r="H691" t="s">
        <v>22</v>
      </c>
      <c r="I691">
        <v>1</v>
      </c>
      <c r="J691">
        <v>1</v>
      </c>
      <c r="K691">
        <v>0</v>
      </c>
    </row>
    <row r="692" spans="1:11" x14ac:dyDescent="0.15">
      <c r="A692" t="s">
        <v>15</v>
      </c>
      <c r="B692" t="s">
        <v>676</v>
      </c>
      <c r="C692" t="s">
        <v>1588</v>
      </c>
      <c r="D692" t="s">
        <v>1589</v>
      </c>
      <c r="E692" t="s">
        <v>1590</v>
      </c>
      <c r="F692" t="s">
        <v>21</v>
      </c>
      <c r="G692" t="s">
        <v>21</v>
      </c>
      <c r="H692" t="s">
        <v>22</v>
      </c>
      <c r="I692">
        <v>0</v>
      </c>
      <c r="J692">
        <v>1</v>
      </c>
      <c r="K692">
        <v>1</v>
      </c>
    </row>
    <row r="693" spans="1:11" x14ac:dyDescent="0.15">
      <c r="A693" t="s">
        <v>15</v>
      </c>
      <c r="B693" t="s">
        <v>49</v>
      </c>
      <c r="C693" t="s">
        <v>1591</v>
      </c>
      <c r="D693" t="s">
        <v>1592</v>
      </c>
      <c r="E693" t="s">
        <v>1593</v>
      </c>
      <c r="F693" t="s">
        <v>21</v>
      </c>
      <c r="G693" t="s">
        <v>21</v>
      </c>
      <c r="H693" t="s">
        <v>22</v>
      </c>
      <c r="I693">
        <v>0</v>
      </c>
      <c r="J693">
        <v>2</v>
      </c>
      <c r="K693">
        <v>2</v>
      </c>
    </row>
    <row r="694" spans="1:11" x14ac:dyDescent="0.15">
      <c r="A694" t="s">
        <v>15</v>
      </c>
      <c r="B694" t="s">
        <v>443</v>
      </c>
      <c r="C694" t="s">
        <v>346</v>
      </c>
      <c r="D694" t="s">
        <v>1594</v>
      </c>
      <c r="E694" t="s">
        <v>1595</v>
      </c>
      <c r="F694" t="s">
        <v>21</v>
      </c>
      <c r="G694" t="s">
        <v>21</v>
      </c>
      <c r="H694" t="s">
        <v>22</v>
      </c>
      <c r="I694">
        <v>10</v>
      </c>
      <c r="J694">
        <v>10</v>
      </c>
      <c r="K694">
        <v>0</v>
      </c>
    </row>
    <row r="695" spans="1:11" x14ac:dyDescent="0.15">
      <c r="A695" t="s">
        <v>184</v>
      </c>
      <c r="B695" t="s">
        <v>432</v>
      </c>
      <c r="C695" t="s">
        <v>791</v>
      </c>
      <c r="D695" t="s">
        <v>1596</v>
      </c>
      <c r="E695" t="s">
        <v>1597</v>
      </c>
      <c r="F695" t="s">
        <v>21</v>
      </c>
      <c r="G695" t="s">
        <v>21</v>
      </c>
      <c r="H695" t="s">
        <v>22</v>
      </c>
      <c r="I695">
        <v>4</v>
      </c>
      <c r="J695">
        <v>4</v>
      </c>
      <c r="K695">
        <v>0</v>
      </c>
    </row>
    <row r="696" spans="1:11" x14ac:dyDescent="0.15">
      <c r="A696" t="s">
        <v>184</v>
      </c>
      <c r="B696" t="s">
        <v>432</v>
      </c>
      <c r="C696" t="s">
        <v>791</v>
      </c>
      <c r="D696" t="s">
        <v>1598</v>
      </c>
      <c r="E696" t="s">
        <v>1599</v>
      </c>
      <c r="F696" t="s">
        <v>21</v>
      </c>
      <c r="G696" t="s">
        <v>21</v>
      </c>
      <c r="H696" t="s">
        <v>22</v>
      </c>
      <c r="I696">
        <v>3</v>
      </c>
      <c r="J696">
        <v>6</v>
      </c>
      <c r="K696">
        <v>3</v>
      </c>
    </row>
    <row r="697" spans="1:11" x14ac:dyDescent="0.15">
      <c r="A697" t="s">
        <v>15</v>
      </c>
      <c r="B697" t="s">
        <v>546</v>
      </c>
      <c r="C697" t="s">
        <v>913</v>
      </c>
      <c r="D697" t="s">
        <v>1600</v>
      </c>
      <c r="E697" t="s">
        <v>1601</v>
      </c>
      <c r="F697" t="s">
        <v>21</v>
      </c>
      <c r="G697" t="s">
        <v>21</v>
      </c>
      <c r="H697" t="s">
        <v>22</v>
      </c>
      <c r="I697">
        <v>0</v>
      </c>
      <c r="J697">
        <v>24</v>
      </c>
      <c r="K697">
        <v>24</v>
      </c>
    </row>
    <row r="698" spans="1:11" x14ac:dyDescent="0.15">
      <c r="A698" t="s">
        <v>15</v>
      </c>
      <c r="B698" t="s">
        <v>546</v>
      </c>
      <c r="C698" t="s">
        <v>913</v>
      </c>
      <c r="D698" t="s">
        <v>1602</v>
      </c>
      <c r="E698" t="s">
        <v>1603</v>
      </c>
      <c r="F698" t="s">
        <v>21</v>
      </c>
      <c r="G698" t="s">
        <v>21</v>
      </c>
      <c r="H698" t="s">
        <v>22</v>
      </c>
      <c r="I698">
        <v>0</v>
      </c>
      <c r="J698">
        <v>18</v>
      </c>
      <c r="K698">
        <v>18</v>
      </c>
    </row>
    <row r="699" spans="1:11" x14ac:dyDescent="0.15">
      <c r="A699" t="s">
        <v>15</v>
      </c>
      <c r="B699" t="s">
        <v>540</v>
      </c>
      <c r="C699" t="s">
        <v>913</v>
      </c>
      <c r="D699" t="s">
        <v>1604</v>
      </c>
      <c r="E699" t="s">
        <v>1605</v>
      </c>
      <c r="F699" t="s">
        <v>21</v>
      </c>
      <c r="G699" t="s">
        <v>21</v>
      </c>
      <c r="H699" t="s">
        <v>22</v>
      </c>
      <c r="I699">
        <v>0</v>
      </c>
      <c r="J699">
        <v>2</v>
      </c>
      <c r="K699">
        <v>2</v>
      </c>
    </row>
    <row r="700" spans="1:11" x14ac:dyDescent="0.15">
      <c r="A700" t="s">
        <v>15</v>
      </c>
      <c r="B700" t="s">
        <v>75</v>
      </c>
      <c r="C700" t="s">
        <v>913</v>
      </c>
      <c r="D700" t="s">
        <v>1606</v>
      </c>
      <c r="E700" t="s">
        <v>1607</v>
      </c>
      <c r="F700" t="s">
        <v>21</v>
      </c>
      <c r="G700" t="s">
        <v>21</v>
      </c>
      <c r="H700" t="s">
        <v>22</v>
      </c>
      <c r="I700">
        <v>0</v>
      </c>
      <c r="J700">
        <v>1</v>
      </c>
      <c r="K700">
        <v>1</v>
      </c>
    </row>
    <row r="701" spans="1:11" x14ac:dyDescent="0.15">
      <c r="A701" t="s">
        <v>15</v>
      </c>
      <c r="B701" t="s">
        <v>75</v>
      </c>
      <c r="C701" t="s">
        <v>913</v>
      </c>
      <c r="D701" t="s">
        <v>1608</v>
      </c>
      <c r="E701" t="s">
        <v>1609</v>
      </c>
      <c r="F701" t="s">
        <v>21</v>
      </c>
      <c r="G701" t="s">
        <v>21</v>
      </c>
      <c r="H701" t="s">
        <v>22</v>
      </c>
      <c r="I701">
        <v>0</v>
      </c>
      <c r="J701">
        <v>2</v>
      </c>
      <c r="K701">
        <v>2</v>
      </c>
    </row>
    <row r="702" spans="1:11" x14ac:dyDescent="0.15">
      <c r="A702" t="s">
        <v>15</v>
      </c>
      <c r="B702" t="s">
        <v>1275</v>
      </c>
      <c r="C702" t="s">
        <v>913</v>
      </c>
      <c r="D702" t="s">
        <v>1610</v>
      </c>
      <c r="E702" t="s">
        <v>1611</v>
      </c>
      <c r="F702" t="s">
        <v>21</v>
      </c>
      <c r="G702" t="s">
        <v>21</v>
      </c>
      <c r="H702" t="s">
        <v>22</v>
      </c>
      <c r="I702">
        <v>0</v>
      </c>
      <c r="J702">
        <v>18</v>
      </c>
      <c r="K702">
        <v>18</v>
      </c>
    </row>
    <row r="703" spans="1:11" x14ac:dyDescent="0.15">
      <c r="A703" t="s">
        <v>15</v>
      </c>
      <c r="B703" t="s">
        <v>29</v>
      </c>
      <c r="C703" t="s">
        <v>913</v>
      </c>
      <c r="D703" t="s">
        <v>1612</v>
      </c>
      <c r="E703" t="s">
        <v>1613</v>
      </c>
      <c r="F703" t="s">
        <v>21</v>
      </c>
      <c r="G703" t="s">
        <v>21</v>
      </c>
      <c r="H703" t="s">
        <v>22</v>
      </c>
      <c r="I703">
        <v>0</v>
      </c>
      <c r="J703">
        <v>20</v>
      </c>
      <c r="K703">
        <v>20</v>
      </c>
    </row>
    <row r="704" spans="1:11" x14ac:dyDescent="0.15">
      <c r="A704" t="s">
        <v>15</v>
      </c>
      <c r="B704" t="s">
        <v>29</v>
      </c>
      <c r="C704" t="s">
        <v>913</v>
      </c>
      <c r="D704" t="s">
        <v>1614</v>
      </c>
      <c r="E704" t="s">
        <v>1615</v>
      </c>
      <c r="F704" t="s">
        <v>21</v>
      </c>
      <c r="G704" t="s">
        <v>21</v>
      </c>
      <c r="H704" t="s">
        <v>22</v>
      </c>
      <c r="I704">
        <v>1</v>
      </c>
      <c r="J704">
        <v>1</v>
      </c>
      <c r="K704">
        <v>0</v>
      </c>
    </row>
    <row r="705" spans="1:11" x14ac:dyDescent="0.15">
      <c r="A705" t="s">
        <v>15</v>
      </c>
      <c r="B705" t="s">
        <v>29</v>
      </c>
      <c r="C705" t="s">
        <v>913</v>
      </c>
      <c r="D705" t="s">
        <v>1616</v>
      </c>
      <c r="E705" t="s">
        <v>1617</v>
      </c>
      <c r="F705" t="s">
        <v>21</v>
      </c>
      <c r="G705" t="s">
        <v>21</v>
      </c>
      <c r="H705" t="s">
        <v>22</v>
      </c>
      <c r="I705">
        <v>0</v>
      </c>
      <c r="J705">
        <v>9</v>
      </c>
      <c r="K705">
        <v>9</v>
      </c>
    </row>
    <row r="706" spans="1:11" x14ac:dyDescent="0.15">
      <c r="A706" t="s">
        <v>15</v>
      </c>
      <c r="B706" t="s">
        <v>676</v>
      </c>
      <c r="C706" t="s">
        <v>913</v>
      </c>
      <c r="D706" t="s">
        <v>1618</v>
      </c>
      <c r="E706" t="s">
        <v>1619</v>
      </c>
      <c r="F706" t="s">
        <v>21</v>
      </c>
      <c r="G706" t="s">
        <v>21</v>
      </c>
      <c r="H706" t="s">
        <v>22</v>
      </c>
      <c r="I706">
        <v>0</v>
      </c>
      <c r="J706">
        <v>8</v>
      </c>
      <c r="K706">
        <v>8</v>
      </c>
    </row>
    <row r="707" spans="1:11" x14ac:dyDescent="0.15">
      <c r="A707" t="s">
        <v>15</v>
      </c>
      <c r="B707" t="s">
        <v>29</v>
      </c>
      <c r="C707" t="s">
        <v>913</v>
      </c>
      <c r="D707" t="s">
        <v>1620</v>
      </c>
      <c r="E707" t="s">
        <v>1621</v>
      </c>
      <c r="F707" t="s">
        <v>21</v>
      </c>
      <c r="G707" t="s">
        <v>21</v>
      </c>
      <c r="H707" t="s">
        <v>22</v>
      </c>
      <c r="I707">
        <v>0</v>
      </c>
      <c r="J707">
        <v>10</v>
      </c>
      <c r="K707">
        <v>10</v>
      </c>
    </row>
    <row r="708" spans="1:11" x14ac:dyDescent="0.15">
      <c r="A708" t="s">
        <v>15</v>
      </c>
      <c r="B708" t="s">
        <v>29</v>
      </c>
      <c r="C708" t="s">
        <v>913</v>
      </c>
      <c r="D708" t="s">
        <v>1622</v>
      </c>
      <c r="E708" t="s">
        <v>1623</v>
      </c>
      <c r="F708" t="s">
        <v>21</v>
      </c>
      <c r="G708" t="s">
        <v>21</v>
      </c>
      <c r="H708" t="s">
        <v>22</v>
      </c>
      <c r="I708">
        <v>0</v>
      </c>
      <c r="J708">
        <v>6</v>
      </c>
      <c r="K708">
        <v>6</v>
      </c>
    </row>
    <row r="709" spans="1:11" x14ac:dyDescent="0.15">
      <c r="A709" t="s">
        <v>15</v>
      </c>
      <c r="B709" t="s">
        <v>29</v>
      </c>
      <c r="C709" t="s">
        <v>913</v>
      </c>
      <c r="D709" t="s">
        <v>1624</v>
      </c>
      <c r="E709" t="s">
        <v>1625</v>
      </c>
      <c r="F709" t="s">
        <v>21</v>
      </c>
      <c r="G709" t="s">
        <v>21</v>
      </c>
      <c r="H709" t="s">
        <v>22</v>
      </c>
      <c r="I709">
        <v>0</v>
      </c>
      <c r="J709">
        <v>4</v>
      </c>
      <c r="K709">
        <v>4</v>
      </c>
    </row>
    <row r="710" spans="1:11" x14ac:dyDescent="0.15">
      <c r="A710" t="s">
        <v>15</v>
      </c>
      <c r="B710" t="s">
        <v>53</v>
      </c>
      <c r="C710" t="s">
        <v>913</v>
      </c>
      <c r="D710" t="s">
        <v>1626</v>
      </c>
      <c r="E710" t="s">
        <v>1627</v>
      </c>
      <c r="F710" t="s">
        <v>21</v>
      </c>
      <c r="G710" t="s">
        <v>21</v>
      </c>
      <c r="H710" t="s">
        <v>22</v>
      </c>
      <c r="I710">
        <v>0</v>
      </c>
      <c r="J710">
        <v>6</v>
      </c>
      <c r="K710">
        <v>6</v>
      </c>
    </row>
    <row r="711" spans="1:11" x14ac:dyDescent="0.15">
      <c r="A711" t="s">
        <v>15</v>
      </c>
      <c r="B711" t="s">
        <v>53</v>
      </c>
      <c r="C711" t="s">
        <v>913</v>
      </c>
      <c r="D711" t="s">
        <v>1628</v>
      </c>
      <c r="E711" t="s">
        <v>1629</v>
      </c>
      <c r="F711" t="s">
        <v>21</v>
      </c>
      <c r="G711" t="s">
        <v>21</v>
      </c>
      <c r="H711" t="s">
        <v>22</v>
      </c>
      <c r="I711">
        <v>0</v>
      </c>
      <c r="J711">
        <v>9</v>
      </c>
      <c r="K711">
        <v>9</v>
      </c>
    </row>
    <row r="712" spans="1:11" x14ac:dyDescent="0.15">
      <c r="A712" t="s">
        <v>15</v>
      </c>
      <c r="B712" t="s">
        <v>49</v>
      </c>
      <c r="C712" t="s">
        <v>913</v>
      </c>
      <c r="D712" t="s">
        <v>1630</v>
      </c>
      <c r="E712" t="s">
        <v>1631</v>
      </c>
      <c r="F712" t="s">
        <v>21</v>
      </c>
      <c r="G712" t="s">
        <v>21</v>
      </c>
      <c r="H712" t="s">
        <v>22</v>
      </c>
      <c r="I712">
        <v>0</v>
      </c>
      <c r="J712">
        <v>9</v>
      </c>
      <c r="K712">
        <v>9</v>
      </c>
    </row>
    <row r="713" spans="1:11" x14ac:dyDescent="0.15">
      <c r="A713" t="s">
        <v>15</v>
      </c>
      <c r="B713" t="s">
        <v>49</v>
      </c>
      <c r="C713" t="s">
        <v>913</v>
      </c>
      <c r="D713" t="s">
        <v>1632</v>
      </c>
      <c r="E713" t="s">
        <v>1633</v>
      </c>
      <c r="F713" t="s">
        <v>21</v>
      </c>
      <c r="G713" t="s">
        <v>21</v>
      </c>
      <c r="H713" t="s">
        <v>22</v>
      </c>
      <c r="I713">
        <v>0</v>
      </c>
      <c r="J713">
        <v>1</v>
      </c>
      <c r="K713">
        <v>1</v>
      </c>
    </row>
    <row r="714" spans="1:11" x14ac:dyDescent="0.15">
      <c r="A714" t="s">
        <v>15</v>
      </c>
      <c r="B714" t="s">
        <v>49</v>
      </c>
      <c r="C714" t="s">
        <v>913</v>
      </c>
      <c r="D714" t="s">
        <v>1634</v>
      </c>
      <c r="E714" t="s">
        <v>1635</v>
      </c>
      <c r="F714" t="s">
        <v>21</v>
      </c>
      <c r="G714" t="s">
        <v>21</v>
      </c>
      <c r="H714" t="s">
        <v>22</v>
      </c>
      <c r="I714">
        <v>0</v>
      </c>
      <c r="J714">
        <v>3</v>
      </c>
      <c r="K714">
        <v>3</v>
      </c>
    </row>
    <row r="715" spans="1:11" x14ac:dyDescent="0.15">
      <c r="A715" t="s">
        <v>15</v>
      </c>
      <c r="B715" t="s">
        <v>49</v>
      </c>
      <c r="C715" t="s">
        <v>913</v>
      </c>
      <c r="D715" t="s">
        <v>1636</v>
      </c>
      <c r="E715" t="s">
        <v>1637</v>
      </c>
      <c r="F715" t="s">
        <v>21</v>
      </c>
      <c r="G715" t="s">
        <v>21</v>
      </c>
      <c r="H715" t="s">
        <v>22</v>
      </c>
      <c r="I715">
        <v>0</v>
      </c>
      <c r="J715">
        <v>21</v>
      </c>
      <c r="K715">
        <v>21</v>
      </c>
    </row>
    <row r="716" spans="1:11" x14ac:dyDescent="0.15">
      <c r="A716" t="s">
        <v>15</v>
      </c>
      <c r="B716" t="s">
        <v>49</v>
      </c>
      <c r="C716" t="s">
        <v>913</v>
      </c>
      <c r="D716" t="s">
        <v>1638</v>
      </c>
      <c r="E716" t="s">
        <v>1639</v>
      </c>
      <c r="F716" t="s">
        <v>21</v>
      </c>
      <c r="G716" t="s">
        <v>21</v>
      </c>
      <c r="H716" t="s">
        <v>22</v>
      </c>
      <c r="I716">
        <v>0</v>
      </c>
      <c r="J716">
        <v>4</v>
      </c>
      <c r="K716">
        <v>4</v>
      </c>
    </row>
    <row r="717" spans="1:11" x14ac:dyDescent="0.15">
      <c r="A717" t="s">
        <v>15</v>
      </c>
      <c r="B717" t="s">
        <v>1269</v>
      </c>
      <c r="C717" t="s">
        <v>913</v>
      </c>
      <c r="D717" t="s">
        <v>1640</v>
      </c>
      <c r="E717" t="s">
        <v>1641</v>
      </c>
      <c r="F717" t="s">
        <v>21</v>
      </c>
      <c r="G717" t="s">
        <v>21</v>
      </c>
      <c r="H717" t="s">
        <v>22</v>
      </c>
      <c r="I717">
        <v>0</v>
      </c>
      <c r="J717">
        <v>1</v>
      </c>
      <c r="K717">
        <v>1</v>
      </c>
    </row>
    <row r="718" spans="1:11" x14ac:dyDescent="0.15">
      <c r="A718" t="s">
        <v>15</v>
      </c>
      <c r="B718" t="s">
        <v>1269</v>
      </c>
      <c r="C718" t="s">
        <v>913</v>
      </c>
      <c r="D718" t="s">
        <v>1642</v>
      </c>
      <c r="E718" t="s">
        <v>1643</v>
      </c>
      <c r="F718" t="s">
        <v>21</v>
      </c>
      <c r="G718" t="s">
        <v>21</v>
      </c>
      <c r="H718" t="s">
        <v>22</v>
      </c>
      <c r="I718">
        <v>0</v>
      </c>
      <c r="J718">
        <v>2</v>
      </c>
      <c r="K718">
        <v>2</v>
      </c>
    </row>
    <row r="719" spans="1:11" x14ac:dyDescent="0.15">
      <c r="A719" t="s">
        <v>15</v>
      </c>
      <c r="B719" t="s">
        <v>1269</v>
      </c>
      <c r="C719" t="s">
        <v>913</v>
      </c>
      <c r="D719" t="s">
        <v>1644</v>
      </c>
      <c r="E719" t="s">
        <v>1645</v>
      </c>
      <c r="F719" t="s">
        <v>21</v>
      </c>
      <c r="G719" t="s">
        <v>21</v>
      </c>
      <c r="H719" t="s">
        <v>22</v>
      </c>
      <c r="I719">
        <v>0</v>
      </c>
      <c r="J719">
        <v>2</v>
      </c>
      <c r="K719">
        <v>2</v>
      </c>
    </row>
    <row r="720" spans="1:11" x14ac:dyDescent="0.15">
      <c r="A720" t="s">
        <v>15</v>
      </c>
      <c r="B720" t="s">
        <v>1269</v>
      </c>
      <c r="C720" t="s">
        <v>913</v>
      </c>
      <c r="D720" t="s">
        <v>1646</v>
      </c>
      <c r="E720" t="s">
        <v>1647</v>
      </c>
      <c r="F720" t="s">
        <v>21</v>
      </c>
      <c r="G720" t="s">
        <v>21</v>
      </c>
      <c r="H720" t="s">
        <v>22</v>
      </c>
      <c r="I720">
        <v>0</v>
      </c>
      <c r="J720">
        <v>4</v>
      </c>
      <c r="K720">
        <v>4</v>
      </c>
    </row>
    <row r="721" spans="1:11" x14ac:dyDescent="0.15">
      <c r="A721" t="s">
        <v>15</v>
      </c>
      <c r="B721" t="s">
        <v>1269</v>
      </c>
      <c r="C721" t="s">
        <v>913</v>
      </c>
      <c r="D721" t="s">
        <v>1648</v>
      </c>
      <c r="E721" t="s">
        <v>1649</v>
      </c>
      <c r="F721" t="s">
        <v>21</v>
      </c>
      <c r="G721" t="s">
        <v>21</v>
      </c>
      <c r="H721" t="s">
        <v>22</v>
      </c>
      <c r="I721">
        <v>0</v>
      </c>
      <c r="J721">
        <v>5</v>
      </c>
      <c r="K721">
        <v>5</v>
      </c>
    </row>
    <row r="722" spans="1:11" x14ac:dyDescent="0.15">
      <c r="A722" t="s">
        <v>15</v>
      </c>
      <c r="B722" t="s">
        <v>1269</v>
      </c>
      <c r="C722" t="s">
        <v>913</v>
      </c>
      <c r="D722" t="s">
        <v>1650</v>
      </c>
      <c r="E722" t="s">
        <v>1651</v>
      </c>
      <c r="F722" t="s">
        <v>21</v>
      </c>
      <c r="G722" t="s">
        <v>21</v>
      </c>
      <c r="H722" t="s">
        <v>22</v>
      </c>
      <c r="I722">
        <v>0</v>
      </c>
      <c r="J722">
        <v>2</v>
      </c>
      <c r="K722">
        <v>2</v>
      </c>
    </row>
    <row r="723" spans="1:11" x14ac:dyDescent="0.15">
      <c r="A723" t="s">
        <v>15</v>
      </c>
      <c r="B723" t="s">
        <v>1269</v>
      </c>
      <c r="C723" t="s">
        <v>913</v>
      </c>
      <c r="D723" t="s">
        <v>1652</v>
      </c>
      <c r="E723" t="s">
        <v>1653</v>
      </c>
      <c r="F723" t="s">
        <v>21</v>
      </c>
      <c r="G723" t="s">
        <v>21</v>
      </c>
      <c r="H723" t="s">
        <v>22</v>
      </c>
      <c r="I723">
        <v>0</v>
      </c>
      <c r="J723">
        <v>2</v>
      </c>
      <c r="K723">
        <v>2</v>
      </c>
    </row>
    <row r="724" spans="1:11" x14ac:dyDescent="0.15">
      <c r="A724" t="s">
        <v>15</v>
      </c>
      <c r="B724" t="s">
        <v>1269</v>
      </c>
      <c r="C724" t="s">
        <v>913</v>
      </c>
      <c r="D724" t="s">
        <v>1654</v>
      </c>
      <c r="E724" t="s">
        <v>1655</v>
      </c>
      <c r="F724" t="s">
        <v>21</v>
      </c>
      <c r="G724" t="s">
        <v>21</v>
      </c>
      <c r="H724" t="s">
        <v>22</v>
      </c>
      <c r="I724">
        <v>0</v>
      </c>
      <c r="J724">
        <v>2</v>
      </c>
      <c r="K724">
        <v>2</v>
      </c>
    </row>
    <row r="725" spans="1:11" x14ac:dyDescent="0.15">
      <c r="A725" t="s">
        <v>15</v>
      </c>
      <c r="B725" t="s">
        <v>1269</v>
      </c>
      <c r="C725" t="s">
        <v>913</v>
      </c>
      <c r="D725" t="s">
        <v>1656</v>
      </c>
      <c r="E725" t="s">
        <v>1657</v>
      </c>
      <c r="F725" t="s">
        <v>21</v>
      </c>
      <c r="G725" t="s">
        <v>21</v>
      </c>
      <c r="H725" t="s">
        <v>22</v>
      </c>
      <c r="I725">
        <v>0</v>
      </c>
      <c r="J725">
        <v>2</v>
      </c>
      <c r="K725">
        <v>2</v>
      </c>
    </row>
    <row r="726" spans="1:11" x14ac:dyDescent="0.15">
      <c r="A726" t="s">
        <v>15</v>
      </c>
      <c r="B726" t="s">
        <v>443</v>
      </c>
      <c r="C726" t="s">
        <v>913</v>
      </c>
      <c r="D726" t="s">
        <v>1658</v>
      </c>
      <c r="E726" t="s">
        <v>1659</v>
      </c>
      <c r="F726" t="s">
        <v>21</v>
      </c>
      <c r="G726" t="s">
        <v>21</v>
      </c>
      <c r="H726" t="s">
        <v>22</v>
      </c>
      <c r="I726">
        <v>7</v>
      </c>
      <c r="J726">
        <v>7</v>
      </c>
      <c r="K726">
        <v>0</v>
      </c>
    </row>
    <row r="727" spans="1:11" x14ac:dyDescent="0.15">
      <c r="A727" t="s">
        <v>15</v>
      </c>
      <c r="B727" t="s">
        <v>443</v>
      </c>
      <c r="C727" t="s">
        <v>913</v>
      </c>
      <c r="D727" t="s">
        <v>1660</v>
      </c>
      <c r="E727" t="s">
        <v>1661</v>
      </c>
      <c r="F727" t="s">
        <v>21</v>
      </c>
      <c r="G727" t="s">
        <v>21</v>
      </c>
      <c r="H727" t="s">
        <v>22</v>
      </c>
      <c r="I727">
        <v>3</v>
      </c>
      <c r="J727">
        <v>3</v>
      </c>
      <c r="K727">
        <v>0</v>
      </c>
    </row>
    <row r="728" spans="1:11" x14ac:dyDescent="0.15">
      <c r="A728" t="s">
        <v>15</v>
      </c>
      <c r="B728" t="s">
        <v>443</v>
      </c>
      <c r="C728" t="s">
        <v>913</v>
      </c>
      <c r="D728" t="s">
        <v>1662</v>
      </c>
      <c r="E728" t="s">
        <v>1663</v>
      </c>
      <c r="F728" t="s">
        <v>21</v>
      </c>
      <c r="G728" t="s">
        <v>21</v>
      </c>
      <c r="H728" t="s">
        <v>22</v>
      </c>
      <c r="I728">
        <v>6</v>
      </c>
      <c r="J728">
        <v>6</v>
      </c>
      <c r="K728">
        <v>0</v>
      </c>
    </row>
    <row r="729" spans="1:11" x14ac:dyDescent="0.15">
      <c r="A729" t="s">
        <v>15</v>
      </c>
      <c r="B729" t="s">
        <v>443</v>
      </c>
      <c r="C729" t="s">
        <v>913</v>
      </c>
      <c r="D729" t="s">
        <v>1664</v>
      </c>
      <c r="E729" t="s">
        <v>1663</v>
      </c>
      <c r="F729" t="s">
        <v>21</v>
      </c>
      <c r="G729" t="s">
        <v>21</v>
      </c>
      <c r="H729" t="s">
        <v>22</v>
      </c>
      <c r="I729">
        <v>3</v>
      </c>
      <c r="J729">
        <v>3</v>
      </c>
      <c r="K729">
        <v>0</v>
      </c>
    </row>
    <row r="730" spans="1:11" x14ac:dyDescent="0.15">
      <c r="A730" t="s">
        <v>15</v>
      </c>
      <c r="B730" t="s">
        <v>443</v>
      </c>
      <c r="C730" t="s">
        <v>913</v>
      </c>
      <c r="D730" t="s">
        <v>1665</v>
      </c>
      <c r="E730" t="s">
        <v>1666</v>
      </c>
      <c r="F730" t="s">
        <v>21</v>
      </c>
      <c r="G730" t="s">
        <v>21</v>
      </c>
      <c r="H730" t="s">
        <v>22</v>
      </c>
      <c r="I730">
        <v>7</v>
      </c>
      <c r="J730">
        <v>7</v>
      </c>
      <c r="K730">
        <v>0</v>
      </c>
    </row>
    <row r="731" spans="1:11" x14ac:dyDescent="0.15">
      <c r="A731" t="s">
        <v>15</v>
      </c>
      <c r="B731" t="s">
        <v>443</v>
      </c>
      <c r="C731" t="s">
        <v>913</v>
      </c>
      <c r="D731" t="s">
        <v>1667</v>
      </c>
      <c r="E731" t="s">
        <v>1668</v>
      </c>
      <c r="F731" t="s">
        <v>21</v>
      </c>
      <c r="G731" t="s">
        <v>21</v>
      </c>
      <c r="H731" t="s">
        <v>22</v>
      </c>
      <c r="I731">
        <v>2</v>
      </c>
      <c r="J731">
        <v>2</v>
      </c>
      <c r="K731">
        <v>0</v>
      </c>
    </row>
    <row r="732" spans="1:11" x14ac:dyDescent="0.15">
      <c r="A732" t="s">
        <v>15</v>
      </c>
      <c r="B732" t="s">
        <v>75</v>
      </c>
      <c r="C732" t="s">
        <v>913</v>
      </c>
      <c r="D732" t="s">
        <v>1669</v>
      </c>
      <c r="E732" t="s">
        <v>1670</v>
      </c>
      <c r="F732" t="s">
        <v>21</v>
      </c>
      <c r="G732" t="s">
        <v>21</v>
      </c>
      <c r="H732" t="s">
        <v>22</v>
      </c>
      <c r="I732">
        <v>4</v>
      </c>
      <c r="J732">
        <v>34</v>
      </c>
      <c r="K732">
        <v>30</v>
      </c>
    </row>
    <row r="733" spans="1:11" x14ac:dyDescent="0.15">
      <c r="A733" t="s">
        <v>15</v>
      </c>
      <c r="B733" t="s">
        <v>29</v>
      </c>
      <c r="C733" t="s">
        <v>913</v>
      </c>
      <c r="D733" t="s">
        <v>1671</v>
      </c>
      <c r="E733" t="s">
        <v>1672</v>
      </c>
      <c r="F733" t="s">
        <v>21</v>
      </c>
      <c r="G733" t="s">
        <v>21</v>
      </c>
      <c r="H733" t="s">
        <v>22</v>
      </c>
      <c r="I733">
        <v>0</v>
      </c>
      <c r="J733">
        <v>15</v>
      </c>
      <c r="K733">
        <v>15</v>
      </c>
    </row>
    <row r="734" spans="1:11" x14ac:dyDescent="0.15">
      <c r="A734" t="s">
        <v>15</v>
      </c>
      <c r="B734" t="s">
        <v>36</v>
      </c>
      <c r="C734" t="s">
        <v>913</v>
      </c>
      <c r="D734" t="s">
        <v>1673</v>
      </c>
      <c r="E734" t="s">
        <v>1674</v>
      </c>
      <c r="F734" t="s">
        <v>21</v>
      </c>
      <c r="G734" t="s">
        <v>21</v>
      </c>
      <c r="H734" t="s">
        <v>22</v>
      </c>
      <c r="I734">
        <v>0</v>
      </c>
      <c r="J734">
        <v>8</v>
      </c>
      <c r="K734">
        <v>8</v>
      </c>
    </row>
    <row r="735" spans="1:11" x14ac:dyDescent="0.15">
      <c r="A735" t="s">
        <v>15</v>
      </c>
      <c r="B735" t="s">
        <v>36</v>
      </c>
      <c r="C735" t="s">
        <v>913</v>
      </c>
      <c r="D735" t="s">
        <v>1675</v>
      </c>
      <c r="E735" t="s">
        <v>1676</v>
      </c>
      <c r="F735" t="s">
        <v>21</v>
      </c>
      <c r="G735" t="s">
        <v>21</v>
      </c>
      <c r="H735" t="s">
        <v>22</v>
      </c>
      <c r="I735">
        <v>0</v>
      </c>
      <c r="J735">
        <v>4</v>
      </c>
      <c r="K735">
        <v>4</v>
      </c>
    </row>
    <row r="736" spans="1:11" x14ac:dyDescent="0.15">
      <c r="A736" t="s">
        <v>15</v>
      </c>
      <c r="B736" t="s">
        <v>1677</v>
      </c>
      <c r="C736" t="s">
        <v>913</v>
      </c>
      <c r="D736" t="s">
        <v>1678</v>
      </c>
      <c r="E736" t="s">
        <v>1679</v>
      </c>
      <c r="F736" t="s">
        <v>21</v>
      </c>
      <c r="G736" t="s">
        <v>21</v>
      </c>
      <c r="H736" t="s">
        <v>22</v>
      </c>
      <c r="I736">
        <v>0</v>
      </c>
      <c r="J736">
        <v>3</v>
      </c>
      <c r="K736">
        <v>3</v>
      </c>
    </row>
    <row r="737" spans="1:11" x14ac:dyDescent="0.15">
      <c r="A737" t="s">
        <v>15</v>
      </c>
      <c r="B737" t="s">
        <v>546</v>
      </c>
      <c r="C737" t="s">
        <v>913</v>
      </c>
      <c r="D737" t="s">
        <v>1680</v>
      </c>
      <c r="E737" t="s">
        <v>1681</v>
      </c>
      <c r="F737" t="s">
        <v>21</v>
      </c>
      <c r="G737" t="s">
        <v>21</v>
      </c>
      <c r="H737" t="s">
        <v>22</v>
      </c>
      <c r="I737">
        <v>0</v>
      </c>
      <c r="J737">
        <v>12</v>
      </c>
      <c r="K737">
        <v>12</v>
      </c>
    </row>
    <row r="738" spans="1:11" x14ac:dyDescent="0.15">
      <c r="A738" t="s">
        <v>15</v>
      </c>
      <c r="B738" t="s">
        <v>53</v>
      </c>
      <c r="C738" t="s">
        <v>913</v>
      </c>
      <c r="D738" t="s">
        <v>1682</v>
      </c>
      <c r="E738" t="s">
        <v>1683</v>
      </c>
      <c r="F738" t="s">
        <v>21</v>
      </c>
      <c r="G738" t="s">
        <v>21</v>
      </c>
      <c r="H738" t="s">
        <v>22</v>
      </c>
      <c r="I738">
        <v>0</v>
      </c>
      <c r="J738">
        <v>21</v>
      </c>
      <c r="K738">
        <v>21</v>
      </c>
    </row>
    <row r="739" spans="1:11" x14ac:dyDescent="0.15">
      <c r="A739" t="s">
        <v>15</v>
      </c>
      <c r="B739" t="s">
        <v>1269</v>
      </c>
      <c r="C739" t="s">
        <v>913</v>
      </c>
      <c r="D739" t="s">
        <v>1684</v>
      </c>
      <c r="E739" t="s">
        <v>1685</v>
      </c>
      <c r="F739" t="s">
        <v>21</v>
      </c>
      <c r="G739" t="s">
        <v>21</v>
      </c>
      <c r="H739" t="s">
        <v>22</v>
      </c>
      <c r="I739">
        <v>0</v>
      </c>
      <c r="J739">
        <v>2</v>
      </c>
      <c r="K739">
        <v>2</v>
      </c>
    </row>
    <row r="740" spans="1:11" x14ac:dyDescent="0.15">
      <c r="A740" t="s">
        <v>15</v>
      </c>
      <c r="B740" t="s">
        <v>439</v>
      </c>
      <c r="C740" t="s">
        <v>913</v>
      </c>
      <c r="D740" t="s">
        <v>1686</v>
      </c>
      <c r="E740" t="s">
        <v>1687</v>
      </c>
      <c r="F740" t="s">
        <v>21</v>
      </c>
      <c r="G740" t="s">
        <v>21</v>
      </c>
      <c r="H740" t="s">
        <v>22</v>
      </c>
      <c r="I740">
        <v>0</v>
      </c>
      <c r="J740">
        <v>2</v>
      </c>
      <c r="K740">
        <v>2</v>
      </c>
    </row>
    <row r="741" spans="1:11" x14ac:dyDescent="0.15">
      <c r="A741" t="s">
        <v>15</v>
      </c>
      <c r="B741" t="s">
        <v>439</v>
      </c>
      <c r="C741" t="s">
        <v>913</v>
      </c>
      <c r="D741" t="s">
        <v>1688</v>
      </c>
      <c r="E741" t="s">
        <v>1689</v>
      </c>
      <c r="F741" t="s">
        <v>21</v>
      </c>
      <c r="G741" t="s">
        <v>21</v>
      </c>
      <c r="H741" t="s">
        <v>22</v>
      </c>
      <c r="I741">
        <v>0</v>
      </c>
      <c r="J741">
        <v>35</v>
      </c>
      <c r="K741">
        <v>35</v>
      </c>
    </row>
    <row r="742" spans="1:11" x14ac:dyDescent="0.15">
      <c r="A742" t="s">
        <v>15</v>
      </c>
      <c r="B742" t="s">
        <v>439</v>
      </c>
      <c r="C742" t="s">
        <v>913</v>
      </c>
      <c r="D742" t="s">
        <v>1690</v>
      </c>
      <c r="E742" t="s">
        <v>1689</v>
      </c>
      <c r="F742" t="s">
        <v>21</v>
      </c>
      <c r="G742" t="s">
        <v>21</v>
      </c>
      <c r="H742" t="s">
        <v>22</v>
      </c>
      <c r="I742">
        <v>1</v>
      </c>
      <c r="J742">
        <v>4</v>
      </c>
      <c r="K742">
        <v>3</v>
      </c>
    </row>
    <row r="743" spans="1:11" x14ac:dyDescent="0.15">
      <c r="A743" t="s">
        <v>15</v>
      </c>
      <c r="B743" t="s">
        <v>439</v>
      </c>
      <c r="C743" t="s">
        <v>913</v>
      </c>
      <c r="D743" t="s">
        <v>1691</v>
      </c>
      <c r="E743" t="s">
        <v>1692</v>
      </c>
      <c r="F743" t="s">
        <v>21</v>
      </c>
      <c r="G743" t="s">
        <v>21</v>
      </c>
      <c r="H743" t="s">
        <v>22</v>
      </c>
      <c r="I743">
        <v>2</v>
      </c>
      <c r="J743">
        <v>34</v>
      </c>
      <c r="K743">
        <v>32</v>
      </c>
    </row>
    <row r="744" spans="1:11" x14ac:dyDescent="0.15">
      <c r="A744" t="s">
        <v>15</v>
      </c>
      <c r="B744" t="s">
        <v>439</v>
      </c>
      <c r="C744" t="s">
        <v>913</v>
      </c>
      <c r="D744" t="s">
        <v>1693</v>
      </c>
      <c r="E744" t="s">
        <v>1694</v>
      </c>
      <c r="F744" t="s">
        <v>21</v>
      </c>
      <c r="G744" t="s">
        <v>21</v>
      </c>
      <c r="H744" t="s">
        <v>22</v>
      </c>
      <c r="I744">
        <v>2</v>
      </c>
      <c r="J744">
        <v>5</v>
      </c>
      <c r="K744">
        <v>3</v>
      </c>
    </row>
    <row r="745" spans="1:11" x14ac:dyDescent="0.15">
      <c r="A745" t="s">
        <v>15</v>
      </c>
      <c r="B745" t="s">
        <v>439</v>
      </c>
      <c r="C745" t="s">
        <v>913</v>
      </c>
      <c r="D745" t="s">
        <v>1695</v>
      </c>
      <c r="E745" t="s">
        <v>1696</v>
      </c>
      <c r="F745" t="s">
        <v>21</v>
      </c>
      <c r="G745" t="s">
        <v>21</v>
      </c>
      <c r="H745" t="s">
        <v>22</v>
      </c>
      <c r="I745">
        <v>2</v>
      </c>
      <c r="J745">
        <v>2</v>
      </c>
      <c r="K745">
        <v>0</v>
      </c>
    </row>
    <row r="746" spans="1:11" x14ac:dyDescent="0.15">
      <c r="A746" t="s">
        <v>15</v>
      </c>
      <c r="B746" t="s">
        <v>439</v>
      </c>
      <c r="C746" t="s">
        <v>913</v>
      </c>
      <c r="D746" t="s">
        <v>1697</v>
      </c>
      <c r="E746" t="s">
        <v>1696</v>
      </c>
      <c r="F746" t="s">
        <v>21</v>
      </c>
      <c r="G746" t="s">
        <v>21</v>
      </c>
      <c r="H746" t="s">
        <v>22</v>
      </c>
      <c r="I746">
        <v>4</v>
      </c>
      <c r="J746">
        <v>7</v>
      </c>
      <c r="K746">
        <v>3</v>
      </c>
    </row>
    <row r="747" spans="1:11" x14ac:dyDescent="0.15">
      <c r="A747" t="s">
        <v>15</v>
      </c>
      <c r="B747" t="s">
        <v>114</v>
      </c>
      <c r="C747" t="s">
        <v>913</v>
      </c>
      <c r="D747" t="s">
        <v>1698</v>
      </c>
      <c r="E747" t="s">
        <v>1699</v>
      </c>
      <c r="F747" t="s">
        <v>21</v>
      </c>
      <c r="G747" t="s">
        <v>21</v>
      </c>
      <c r="H747" t="s">
        <v>22</v>
      </c>
      <c r="I747">
        <v>4</v>
      </c>
      <c r="J747">
        <v>14</v>
      </c>
      <c r="K747">
        <v>10</v>
      </c>
    </row>
    <row r="748" spans="1:11" x14ac:dyDescent="0.15">
      <c r="A748" t="s">
        <v>15</v>
      </c>
      <c r="B748" t="s">
        <v>1269</v>
      </c>
      <c r="C748" t="s">
        <v>913</v>
      </c>
      <c r="D748" t="s">
        <v>1700</v>
      </c>
      <c r="E748" t="s">
        <v>1701</v>
      </c>
      <c r="F748" t="s">
        <v>21</v>
      </c>
      <c r="G748" t="s">
        <v>21</v>
      </c>
      <c r="H748" t="s">
        <v>22</v>
      </c>
      <c r="I748">
        <v>0</v>
      </c>
      <c r="J748">
        <v>8</v>
      </c>
      <c r="K748">
        <v>8</v>
      </c>
    </row>
    <row r="749" spans="1:11" x14ac:dyDescent="0.15">
      <c r="A749" t="s">
        <v>15</v>
      </c>
      <c r="B749" t="s">
        <v>1269</v>
      </c>
      <c r="C749" t="s">
        <v>913</v>
      </c>
      <c r="D749" t="s">
        <v>1702</v>
      </c>
      <c r="E749" t="s">
        <v>1703</v>
      </c>
      <c r="F749" t="s">
        <v>21</v>
      </c>
      <c r="G749" t="s">
        <v>21</v>
      </c>
      <c r="H749" t="s">
        <v>22</v>
      </c>
      <c r="I749">
        <v>23</v>
      </c>
      <c r="J749">
        <v>39</v>
      </c>
      <c r="K749">
        <v>16</v>
      </c>
    </row>
    <row r="750" spans="1:11" x14ac:dyDescent="0.15">
      <c r="A750" t="s">
        <v>15</v>
      </c>
      <c r="B750" t="s">
        <v>100</v>
      </c>
      <c r="C750" t="s">
        <v>913</v>
      </c>
      <c r="D750" t="s">
        <v>1704</v>
      </c>
      <c r="E750" t="s">
        <v>1705</v>
      </c>
      <c r="F750" t="s">
        <v>21</v>
      </c>
      <c r="G750" t="s">
        <v>21</v>
      </c>
      <c r="H750" t="s">
        <v>22</v>
      </c>
      <c r="I750">
        <v>0</v>
      </c>
      <c r="J750">
        <v>30</v>
      </c>
      <c r="K750">
        <v>30</v>
      </c>
    </row>
    <row r="751" spans="1:11" x14ac:dyDescent="0.15">
      <c r="A751" t="s">
        <v>15</v>
      </c>
      <c r="B751" t="s">
        <v>100</v>
      </c>
      <c r="C751" t="s">
        <v>913</v>
      </c>
      <c r="D751" t="s">
        <v>1706</v>
      </c>
      <c r="E751" t="s">
        <v>1705</v>
      </c>
      <c r="F751" t="s">
        <v>21</v>
      </c>
      <c r="G751" t="s">
        <v>21</v>
      </c>
      <c r="H751" t="s">
        <v>22</v>
      </c>
      <c r="I751">
        <v>0</v>
      </c>
      <c r="J751">
        <v>2</v>
      </c>
      <c r="K751">
        <v>2</v>
      </c>
    </row>
    <row r="752" spans="1:11" x14ac:dyDescent="0.15">
      <c r="A752" t="s">
        <v>15</v>
      </c>
      <c r="B752" t="s">
        <v>546</v>
      </c>
      <c r="C752" t="s">
        <v>913</v>
      </c>
      <c r="D752" t="s">
        <v>1707</v>
      </c>
      <c r="E752" t="s">
        <v>1708</v>
      </c>
      <c r="F752" t="s">
        <v>21</v>
      </c>
      <c r="G752" t="s">
        <v>21</v>
      </c>
      <c r="H752" t="s">
        <v>22</v>
      </c>
      <c r="I752">
        <v>0</v>
      </c>
      <c r="J752">
        <v>12</v>
      </c>
      <c r="K752">
        <v>12</v>
      </c>
    </row>
    <row r="753" spans="1:11" x14ac:dyDescent="0.15">
      <c r="A753" t="s">
        <v>184</v>
      </c>
      <c r="B753" t="s">
        <v>623</v>
      </c>
      <c r="C753" t="s">
        <v>863</v>
      </c>
      <c r="D753" t="s">
        <v>1709</v>
      </c>
      <c r="E753" t="s">
        <v>1710</v>
      </c>
      <c r="F753" t="s">
        <v>21</v>
      </c>
      <c r="G753" t="s">
        <v>21</v>
      </c>
      <c r="H753" t="s">
        <v>22</v>
      </c>
      <c r="I753">
        <v>15</v>
      </c>
      <c r="J753">
        <v>15</v>
      </c>
      <c r="K753">
        <v>0</v>
      </c>
    </row>
    <row r="754" spans="1:11" x14ac:dyDescent="0.15">
      <c r="A754" t="s">
        <v>184</v>
      </c>
      <c r="B754" t="s">
        <v>623</v>
      </c>
      <c r="C754" t="s">
        <v>863</v>
      </c>
      <c r="D754" t="s">
        <v>1711</v>
      </c>
      <c r="E754" t="s">
        <v>1712</v>
      </c>
      <c r="F754" t="s">
        <v>21</v>
      </c>
      <c r="G754" t="s">
        <v>21</v>
      </c>
      <c r="H754" t="s">
        <v>22</v>
      </c>
      <c r="I754">
        <v>18</v>
      </c>
      <c r="J754">
        <v>18</v>
      </c>
      <c r="K754">
        <v>0</v>
      </c>
    </row>
    <row r="755" spans="1:11" x14ac:dyDescent="0.15">
      <c r="A755" t="s">
        <v>184</v>
      </c>
      <c r="B755" t="s">
        <v>623</v>
      </c>
      <c r="C755" t="s">
        <v>863</v>
      </c>
      <c r="D755" t="s">
        <v>1713</v>
      </c>
      <c r="E755" t="s">
        <v>1714</v>
      </c>
      <c r="F755" t="s">
        <v>21</v>
      </c>
      <c r="G755" t="s">
        <v>21</v>
      </c>
      <c r="H755" t="s">
        <v>22</v>
      </c>
      <c r="I755">
        <v>5</v>
      </c>
      <c r="J755">
        <v>6</v>
      </c>
      <c r="K755">
        <v>1</v>
      </c>
    </row>
    <row r="756" spans="1:11" x14ac:dyDescent="0.15">
      <c r="A756" t="s">
        <v>184</v>
      </c>
      <c r="B756" t="s">
        <v>623</v>
      </c>
      <c r="C756" t="s">
        <v>863</v>
      </c>
      <c r="D756" t="s">
        <v>1715</v>
      </c>
      <c r="E756" t="s">
        <v>1716</v>
      </c>
      <c r="F756" t="s">
        <v>21</v>
      </c>
      <c r="G756" t="s">
        <v>21</v>
      </c>
      <c r="H756" t="s">
        <v>22</v>
      </c>
      <c r="I756">
        <v>5</v>
      </c>
      <c r="J756">
        <v>5</v>
      </c>
      <c r="K756">
        <v>0</v>
      </c>
    </row>
    <row r="757" spans="1:11" x14ac:dyDescent="0.15">
      <c r="A757" t="s">
        <v>184</v>
      </c>
      <c r="B757" t="s">
        <v>623</v>
      </c>
      <c r="C757" t="s">
        <v>863</v>
      </c>
      <c r="D757" t="s">
        <v>1717</v>
      </c>
      <c r="E757" t="s">
        <v>1718</v>
      </c>
      <c r="F757" t="s">
        <v>21</v>
      </c>
      <c r="G757" t="s">
        <v>21</v>
      </c>
      <c r="H757" t="s">
        <v>22</v>
      </c>
      <c r="I757">
        <v>12</v>
      </c>
      <c r="J757">
        <v>12</v>
      </c>
      <c r="K757">
        <v>0</v>
      </c>
    </row>
    <row r="758" spans="1:11" x14ac:dyDescent="0.15">
      <c r="A758" t="s">
        <v>184</v>
      </c>
      <c r="B758" t="s">
        <v>623</v>
      </c>
      <c r="C758" t="s">
        <v>863</v>
      </c>
      <c r="D758" t="s">
        <v>1719</v>
      </c>
      <c r="E758" t="s">
        <v>1720</v>
      </c>
      <c r="F758" t="s">
        <v>21</v>
      </c>
      <c r="G758" t="s">
        <v>21</v>
      </c>
      <c r="H758" t="s">
        <v>22</v>
      </c>
      <c r="I758">
        <v>5</v>
      </c>
      <c r="J758">
        <v>5</v>
      </c>
      <c r="K758">
        <v>0</v>
      </c>
    </row>
    <row r="759" spans="1:11" x14ac:dyDescent="0.15">
      <c r="A759" t="s">
        <v>184</v>
      </c>
      <c r="B759" t="s">
        <v>623</v>
      </c>
      <c r="C759" t="s">
        <v>863</v>
      </c>
      <c r="D759" t="s">
        <v>1721</v>
      </c>
      <c r="E759" t="s">
        <v>1722</v>
      </c>
      <c r="F759" t="s">
        <v>21</v>
      </c>
      <c r="G759" t="s">
        <v>21</v>
      </c>
      <c r="H759" t="s">
        <v>22</v>
      </c>
      <c r="I759">
        <v>7</v>
      </c>
      <c r="J759">
        <v>7</v>
      </c>
      <c r="K759">
        <v>0</v>
      </c>
    </row>
    <row r="760" spans="1:11" x14ac:dyDescent="0.15">
      <c r="A760" t="s">
        <v>15</v>
      </c>
      <c r="B760" t="s">
        <v>360</v>
      </c>
      <c r="C760" t="s">
        <v>1723</v>
      </c>
      <c r="D760" t="s">
        <v>1724</v>
      </c>
      <c r="E760" t="s">
        <v>1725</v>
      </c>
      <c r="F760" t="s">
        <v>21</v>
      </c>
      <c r="G760" t="s">
        <v>21</v>
      </c>
      <c r="H760" t="s">
        <v>22</v>
      </c>
      <c r="I760">
        <v>0</v>
      </c>
      <c r="J760">
        <v>1</v>
      </c>
      <c r="K760">
        <v>1</v>
      </c>
    </row>
    <row r="761" spans="1:11" x14ac:dyDescent="0.15">
      <c r="A761" t="s">
        <v>15</v>
      </c>
      <c r="B761" t="s">
        <v>546</v>
      </c>
      <c r="C761" t="s">
        <v>1726</v>
      </c>
      <c r="D761" t="s">
        <v>1727</v>
      </c>
      <c r="E761" t="s">
        <v>1728</v>
      </c>
      <c r="F761" t="s">
        <v>21</v>
      </c>
      <c r="G761" t="s">
        <v>21</v>
      </c>
      <c r="H761" t="s">
        <v>22</v>
      </c>
      <c r="I761">
        <v>1</v>
      </c>
      <c r="J761">
        <v>1</v>
      </c>
      <c r="K761">
        <v>0</v>
      </c>
    </row>
    <row r="762" spans="1:11" x14ac:dyDescent="0.15">
      <c r="A762" t="s">
        <v>15</v>
      </c>
      <c r="B762" t="s">
        <v>566</v>
      </c>
      <c r="C762" t="s">
        <v>830</v>
      </c>
      <c r="D762" t="s">
        <v>1729</v>
      </c>
      <c r="E762" t="s">
        <v>1730</v>
      </c>
      <c r="F762" t="s">
        <v>21</v>
      </c>
      <c r="G762" t="s">
        <v>21</v>
      </c>
      <c r="H762" t="s">
        <v>22</v>
      </c>
      <c r="I762">
        <v>0</v>
      </c>
      <c r="J762">
        <v>18</v>
      </c>
      <c r="K762">
        <v>18</v>
      </c>
    </row>
    <row r="763" spans="1:11" x14ac:dyDescent="0.15">
      <c r="A763" t="s">
        <v>15</v>
      </c>
      <c r="B763" t="s">
        <v>566</v>
      </c>
      <c r="C763" t="s">
        <v>830</v>
      </c>
      <c r="D763" t="s">
        <v>1731</v>
      </c>
      <c r="E763" t="s">
        <v>1732</v>
      </c>
      <c r="F763" t="s">
        <v>21</v>
      </c>
      <c r="G763" t="s">
        <v>21</v>
      </c>
      <c r="H763" t="s">
        <v>22</v>
      </c>
      <c r="I763">
        <v>121</v>
      </c>
      <c r="J763">
        <v>154</v>
      </c>
      <c r="K763">
        <v>33</v>
      </c>
    </row>
    <row r="764" spans="1:11" x14ac:dyDescent="0.15">
      <c r="A764" t="s">
        <v>15</v>
      </c>
      <c r="B764" t="s">
        <v>53</v>
      </c>
      <c r="C764" t="s">
        <v>941</v>
      </c>
      <c r="D764" t="s">
        <v>1733</v>
      </c>
      <c r="E764" t="s">
        <v>1734</v>
      </c>
      <c r="F764" t="s">
        <v>21</v>
      </c>
      <c r="G764" t="s">
        <v>21</v>
      </c>
      <c r="H764" t="s">
        <v>22</v>
      </c>
      <c r="I764">
        <v>2</v>
      </c>
      <c r="J764">
        <v>4</v>
      </c>
      <c r="K764">
        <v>2</v>
      </c>
    </row>
    <row r="765" spans="1:11" x14ac:dyDescent="0.15">
      <c r="A765" t="s">
        <v>15</v>
      </c>
      <c r="B765" t="s">
        <v>53</v>
      </c>
      <c r="C765" t="s">
        <v>941</v>
      </c>
      <c r="D765" t="s">
        <v>1735</v>
      </c>
      <c r="E765" t="s">
        <v>1736</v>
      </c>
      <c r="F765" t="s">
        <v>21</v>
      </c>
      <c r="G765" t="s">
        <v>21</v>
      </c>
      <c r="H765" t="s">
        <v>22</v>
      </c>
      <c r="I765">
        <v>4</v>
      </c>
      <c r="J765">
        <v>10</v>
      </c>
      <c r="K765">
        <v>6</v>
      </c>
    </row>
    <row r="766" spans="1:11" x14ac:dyDescent="0.15">
      <c r="A766" t="s">
        <v>15</v>
      </c>
      <c r="B766" t="s">
        <v>53</v>
      </c>
      <c r="C766" t="s">
        <v>941</v>
      </c>
      <c r="D766" t="s">
        <v>1737</v>
      </c>
      <c r="E766" t="s">
        <v>1738</v>
      </c>
      <c r="F766" t="s">
        <v>21</v>
      </c>
      <c r="G766" t="s">
        <v>21</v>
      </c>
      <c r="H766" t="s">
        <v>22</v>
      </c>
      <c r="I766">
        <v>1</v>
      </c>
      <c r="J766">
        <v>1</v>
      </c>
      <c r="K766">
        <v>0</v>
      </c>
    </row>
    <row r="767" spans="1:11" x14ac:dyDescent="0.15">
      <c r="A767" t="s">
        <v>15</v>
      </c>
      <c r="B767" t="s">
        <v>53</v>
      </c>
      <c r="C767" t="s">
        <v>941</v>
      </c>
      <c r="D767" t="s">
        <v>1739</v>
      </c>
      <c r="E767" t="s">
        <v>1740</v>
      </c>
      <c r="F767" t="s">
        <v>21</v>
      </c>
      <c r="G767" t="s">
        <v>21</v>
      </c>
      <c r="H767" t="s">
        <v>22</v>
      </c>
      <c r="I767">
        <v>7</v>
      </c>
      <c r="J767">
        <v>12</v>
      </c>
      <c r="K767">
        <v>5</v>
      </c>
    </row>
    <row r="768" spans="1:11" x14ac:dyDescent="0.15">
      <c r="A768" t="s">
        <v>303</v>
      </c>
      <c r="B768" t="s">
        <v>707</v>
      </c>
      <c r="C768" t="s">
        <v>667</v>
      </c>
      <c r="D768" t="s">
        <v>1741</v>
      </c>
      <c r="E768" t="s">
        <v>1742</v>
      </c>
      <c r="F768" t="s">
        <v>21</v>
      </c>
      <c r="G768" t="s">
        <v>21</v>
      </c>
      <c r="H768" t="s">
        <v>22</v>
      </c>
      <c r="I768">
        <v>1</v>
      </c>
      <c r="J768">
        <v>1</v>
      </c>
      <c r="K768">
        <v>0</v>
      </c>
    </row>
    <row r="769" spans="1:11" x14ac:dyDescent="0.15">
      <c r="A769" t="s">
        <v>15</v>
      </c>
      <c r="B769" t="s">
        <v>1185</v>
      </c>
      <c r="C769" t="s">
        <v>913</v>
      </c>
      <c r="D769" t="s">
        <v>1743</v>
      </c>
      <c r="E769" t="s">
        <v>1744</v>
      </c>
      <c r="F769" t="s">
        <v>21</v>
      </c>
      <c r="G769" t="s">
        <v>21</v>
      </c>
      <c r="H769" t="s">
        <v>22</v>
      </c>
      <c r="I769">
        <v>5</v>
      </c>
      <c r="J769">
        <v>5</v>
      </c>
      <c r="K769">
        <v>0</v>
      </c>
    </row>
    <row r="770" spans="1:11" x14ac:dyDescent="0.15">
      <c r="A770" t="s">
        <v>138</v>
      </c>
      <c r="B770" t="s">
        <v>381</v>
      </c>
      <c r="C770" t="s">
        <v>145</v>
      </c>
      <c r="D770" t="s">
        <v>1745</v>
      </c>
      <c r="E770" t="s">
        <v>1746</v>
      </c>
      <c r="F770" t="s">
        <v>21</v>
      </c>
      <c r="G770" t="s">
        <v>21</v>
      </c>
      <c r="H770" t="s">
        <v>22</v>
      </c>
      <c r="I770">
        <v>5</v>
      </c>
      <c r="J770">
        <v>5</v>
      </c>
      <c r="K770">
        <v>0</v>
      </c>
    </row>
    <row r="771" spans="1:11" x14ac:dyDescent="0.15">
      <c r="A771" t="s">
        <v>184</v>
      </c>
      <c r="B771" t="s">
        <v>515</v>
      </c>
      <c r="C771" t="s">
        <v>195</v>
      </c>
      <c r="D771" t="s">
        <v>1747</v>
      </c>
      <c r="E771" t="s">
        <v>1748</v>
      </c>
      <c r="F771" t="s">
        <v>21</v>
      </c>
      <c r="G771" t="s">
        <v>21</v>
      </c>
      <c r="H771" t="s">
        <v>22</v>
      </c>
      <c r="I771">
        <v>6</v>
      </c>
      <c r="J771">
        <v>7</v>
      </c>
      <c r="K771">
        <v>1</v>
      </c>
    </row>
    <row r="772" spans="1:11" x14ac:dyDescent="0.15">
      <c r="A772" t="s">
        <v>184</v>
      </c>
      <c r="B772" t="s">
        <v>515</v>
      </c>
      <c r="C772" t="s">
        <v>195</v>
      </c>
      <c r="D772" t="s">
        <v>1749</v>
      </c>
      <c r="E772" t="s">
        <v>1750</v>
      </c>
      <c r="F772" t="s">
        <v>21</v>
      </c>
      <c r="G772" t="s">
        <v>21</v>
      </c>
      <c r="H772" t="s">
        <v>22</v>
      </c>
      <c r="I772">
        <v>1</v>
      </c>
      <c r="J772">
        <v>1</v>
      </c>
      <c r="K772">
        <v>0</v>
      </c>
    </row>
    <row r="773" spans="1:11" x14ac:dyDescent="0.15">
      <c r="A773" t="s">
        <v>184</v>
      </c>
      <c r="B773" t="s">
        <v>515</v>
      </c>
      <c r="C773" t="s">
        <v>195</v>
      </c>
      <c r="D773" t="s">
        <v>1751</v>
      </c>
      <c r="E773" t="s">
        <v>1752</v>
      </c>
      <c r="F773" t="s">
        <v>21</v>
      </c>
      <c r="G773" t="s">
        <v>21</v>
      </c>
      <c r="H773" t="s">
        <v>22</v>
      </c>
      <c r="I773">
        <v>1</v>
      </c>
      <c r="J773">
        <v>1</v>
      </c>
      <c r="K773">
        <v>0</v>
      </c>
    </row>
    <row r="774" spans="1:11" x14ac:dyDescent="0.15">
      <c r="A774" t="s">
        <v>184</v>
      </c>
      <c r="B774" t="s">
        <v>515</v>
      </c>
      <c r="C774" t="s">
        <v>195</v>
      </c>
      <c r="D774" t="s">
        <v>1753</v>
      </c>
      <c r="E774" t="s">
        <v>1754</v>
      </c>
      <c r="F774" t="s">
        <v>21</v>
      </c>
      <c r="G774" t="s">
        <v>21</v>
      </c>
      <c r="H774" t="s">
        <v>22</v>
      </c>
      <c r="I774">
        <v>2</v>
      </c>
      <c r="J774">
        <v>2</v>
      </c>
      <c r="K774">
        <v>0</v>
      </c>
    </row>
    <row r="775" spans="1:11" x14ac:dyDescent="0.15">
      <c r="A775" t="s">
        <v>184</v>
      </c>
      <c r="B775" t="s">
        <v>515</v>
      </c>
      <c r="C775" t="s">
        <v>195</v>
      </c>
      <c r="D775" t="s">
        <v>1755</v>
      </c>
      <c r="E775" t="s">
        <v>1756</v>
      </c>
      <c r="F775" t="s">
        <v>21</v>
      </c>
      <c r="G775" t="s">
        <v>21</v>
      </c>
      <c r="H775" t="s">
        <v>22</v>
      </c>
      <c r="I775">
        <v>4</v>
      </c>
      <c r="J775">
        <v>4</v>
      </c>
      <c r="K775">
        <v>0</v>
      </c>
    </row>
    <row r="776" spans="1:11" x14ac:dyDescent="0.15">
      <c r="A776" t="s">
        <v>184</v>
      </c>
      <c r="B776" t="s">
        <v>515</v>
      </c>
      <c r="C776" t="s">
        <v>195</v>
      </c>
      <c r="D776" t="s">
        <v>1757</v>
      </c>
      <c r="E776" t="s">
        <v>1758</v>
      </c>
      <c r="F776" t="s">
        <v>21</v>
      </c>
      <c r="G776" t="s">
        <v>21</v>
      </c>
      <c r="H776" t="s">
        <v>22</v>
      </c>
      <c r="I776">
        <v>4</v>
      </c>
      <c r="J776">
        <v>4</v>
      </c>
      <c r="K776">
        <v>0</v>
      </c>
    </row>
    <row r="777" spans="1:11" x14ac:dyDescent="0.15">
      <c r="A777" t="s">
        <v>15</v>
      </c>
      <c r="B777" t="s">
        <v>1038</v>
      </c>
      <c r="C777" t="s">
        <v>1039</v>
      </c>
      <c r="D777" t="s">
        <v>1759</v>
      </c>
      <c r="E777" t="s">
        <v>1760</v>
      </c>
      <c r="F777" t="s">
        <v>21</v>
      </c>
      <c r="G777" t="s">
        <v>21</v>
      </c>
      <c r="H777" t="s">
        <v>22</v>
      </c>
      <c r="I777">
        <v>1</v>
      </c>
      <c r="J777">
        <v>1</v>
      </c>
      <c r="K777">
        <v>0</v>
      </c>
    </row>
    <row r="778" spans="1:11" x14ac:dyDescent="0.15">
      <c r="A778" t="s">
        <v>15</v>
      </c>
      <c r="B778" t="s">
        <v>443</v>
      </c>
      <c r="C778" t="s">
        <v>910</v>
      </c>
      <c r="D778" t="s">
        <v>1761</v>
      </c>
      <c r="E778" t="s">
        <v>1762</v>
      </c>
      <c r="F778" t="s">
        <v>21</v>
      </c>
      <c r="G778" t="s">
        <v>21</v>
      </c>
      <c r="H778" t="s">
        <v>22</v>
      </c>
      <c r="I778">
        <v>392</v>
      </c>
      <c r="J778">
        <v>392</v>
      </c>
      <c r="K778">
        <v>0</v>
      </c>
    </row>
    <row r="779" spans="1:11" x14ac:dyDescent="0.15">
      <c r="A779" t="s">
        <v>184</v>
      </c>
      <c r="B779" t="s">
        <v>185</v>
      </c>
      <c r="C779" t="s">
        <v>910</v>
      </c>
      <c r="D779" t="s">
        <v>1763</v>
      </c>
      <c r="E779" t="s">
        <v>1764</v>
      </c>
      <c r="F779" t="s">
        <v>21</v>
      </c>
      <c r="G779" t="s">
        <v>21</v>
      </c>
      <c r="H779" t="s">
        <v>22</v>
      </c>
      <c r="I779">
        <v>13</v>
      </c>
      <c r="J779">
        <v>13</v>
      </c>
      <c r="K779">
        <v>0</v>
      </c>
    </row>
    <row r="780" spans="1:11" x14ac:dyDescent="0.15">
      <c r="A780" t="s">
        <v>184</v>
      </c>
      <c r="B780" t="s">
        <v>185</v>
      </c>
      <c r="C780" t="s">
        <v>910</v>
      </c>
      <c r="D780" t="s">
        <v>1765</v>
      </c>
      <c r="E780" t="s">
        <v>1766</v>
      </c>
      <c r="F780" t="s">
        <v>21</v>
      </c>
      <c r="G780" t="s">
        <v>21</v>
      </c>
      <c r="H780" t="s">
        <v>22</v>
      </c>
      <c r="I780">
        <v>18</v>
      </c>
      <c r="J780">
        <v>19</v>
      </c>
      <c r="K780">
        <v>1</v>
      </c>
    </row>
    <row r="781" spans="1:11" x14ac:dyDescent="0.15">
      <c r="A781" t="s">
        <v>184</v>
      </c>
      <c r="B781" t="s">
        <v>185</v>
      </c>
      <c r="C781" t="s">
        <v>910</v>
      </c>
      <c r="D781" t="s">
        <v>1767</v>
      </c>
      <c r="E781" t="s">
        <v>1768</v>
      </c>
      <c r="F781" t="s">
        <v>21</v>
      </c>
      <c r="G781" t="s">
        <v>21</v>
      </c>
      <c r="H781" t="s">
        <v>22</v>
      </c>
      <c r="I781">
        <v>8</v>
      </c>
      <c r="J781">
        <v>8</v>
      </c>
      <c r="K781">
        <v>0</v>
      </c>
    </row>
    <row r="782" spans="1:11" x14ac:dyDescent="0.15">
      <c r="A782" t="s">
        <v>184</v>
      </c>
      <c r="B782" t="s">
        <v>185</v>
      </c>
      <c r="C782" t="s">
        <v>910</v>
      </c>
      <c r="D782" t="s">
        <v>1769</v>
      </c>
      <c r="E782" t="s">
        <v>1764</v>
      </c>
      <c r="F782" t="s">
        <v>21</v>
      </c>
      <c r="G782" t="s">
        <v>21</v>
      </c>
      <c r="H782" t="s">
        <v>22</v>
      </c>
      <c r="I782">
        <v>21</v>
      </c>
      <c r="J782">
        <v>21</v>
      </c>
      <c r="K782">
        <v>0</v>
      </c>
    </row>
    <row r="783" spans="1:11" x14ac:dyDescent="0.15">
      <c r="A783" t="s">
        <v>15</v>
      </c>
      <c r="B783" t="s">
        <v>566</v>
      </c>
      <c r="C783" t="s">
        <v>910</v>
      </c>
      <c r="D783" t="s">
        <v>1770</v>
      </c>
      <c r="E783" t="s">
        <v>1771</v>
      </c>
      <c r="F783" t="s">
        <v>21</v>
      </c>
      <c r="G783" t="s">
        <v>21</v>
      </c>
      <c r="H783" t="s">
        <v>22</v>
      </c>
      <c r="I783">
        <v>1</v>
      </c>
      <c r="J783">
        <v>1</v>
      </c>
      <c r="K783">
        <v>0</v>
      </c>
    </row>
    <row r="784" spans="1:11" x14ac:dyDescent="0.15">
      <c r="A784" t="s">
        <v>15</v>
      </c>
      <c r="B784" t="s">
        <v>446</v>
      </c>
      <c r="C784" t="s">
        <v>910</v>
      </c>
      <c r="D784" t="s">
        <v>1772</v>
      </c>
      <c r="E784" t="s">
        <v>1773</v>
      </c>
      <c r="F784" t="s">
        <v>21</v>
      </c>
      <c r="G784" t="s">
        <v>21</v>
      </c>
      <c r="H784" t="s">
        <v>22</v>
      </c>
      <c r="I784">
        <v>44</v>
      </c>
      <c r="J784">
        <v>44</v>
      </c>
      <c r="K784">
        <v>0</v>
      </c>
    </row>
    <row r="785" spans="1:11" x14ac:dyDescent="0.15">
      <c r="A785" t="s">
        <v>184</v>
      </c>
      <c r="B785" t="s">
        <v>185</v>
      </c>
      <c r="C785" t="s">
        <v>910</v>
      </c>
      <c r="D785" t="s">
        <v>1774</v>
      </c>
      <c r="E785" t="s">
        <v>1775</v>
      </c>
      <c r="F785" t="s">
        <v>21</v>
      </c>
      <c r="G785" t="s">
        <v>21</v>
      </c>
      <c r="H785" t="s">
        <v>22</v>
      </c>
      <c r="I785">
        <v>1</v>
      </c>
      <c r="J785">
        <v>1</v>
      </c>
      <c r="K785">
        <v>0</v>
      </c>
    </row>
    <row r="786" spans="1:11" x14ac:dyDescent="0.15">
      <c r="A786" t="s">
        <v>184</v>
      </c>
      <c r="B786" t="s">
        <v>185</v>
      </c>
      <c r="C786" t="s">
        <v>910</v>
      </c>
      <c r="D786" t="s">
        <v>1776</v>
      </c>
      <c r="E786" t="s">
        <v>1777</v>
      </c>
      <c r="F786" t="s">
        <v>21</v>
      </c>
      <c r="G786" t="s">
        <v>21</v>
      </c>
      <c r="H786" t="s">
        <v>22</v>
      </c>
      <c r="I786">
        <v>1</v>
      </c>
      <c r="J786">
        <v>1</v>
      </c>
      <c r="K786">
        <v>0</v>
      </c>
    </row>
    <row r="787" spans="1:11" x14ac:dyDescent="0.15">
      <c r="A787" t="s">
        <v>184</v>
      </c>
      <c r="B787" t="s">
        <v>185</v>
      </c>
      <c r="C787" t="s">
        <v>910</v>
      </c>
      <c r="D787" t="s">
        <v>1778</v>
      </c>
      <c r="E787" t="s">
        <v>1779</v>
      </c>
      <c r="F787" t="s">
        <v>21</v>
      </c>
      <c r="G787" t="s">
        <v>21</v>
      </c>
      <c r="H787" t="s">
        <v>22</v>
      </c>
      <c r="I787">
        <v>4</v>
      </c>
      <c r="J787">
        <v>4</v>
      </c>
      <c r="K787">
        <v>0</v>
      </c>
    </row>
    <row r="788" spans="1:11" x14ac:dyDescent="0.15">
      <c r="A788" t="s">
        <v>15</v>
      </c>
      <c r="B788" t="s">
        <v>559</v>
      </c>
      <c r="C788" t="s">
        <v>910</v>
      </c>
      <c r="D788" t="s">
        <v>1780</v>
      </c>
      <c r="E788" t="s">
        <v>1781</v>
      </c>
      <c r="F788" t="s">
        <v>21</v>
      </c>
      <c r="G788" t="s">
        <v>21</v>
      </c>
      <c r="H788" t="s">
        <v>22</v>
      </c>
      <c r="I788">
        <v>696</v>
      </c>
      <c r="J788">
        <v>696</v>
      </c>
      <c r="K788">
        <v>0</v>
      </c>
    </row>
    <row r="789" spans="1:11" x14ac:dyDescent="0.15">
      <c r="A789" t="s">
        <v>15</v>
      </c>
      <c r="B789" t="s">
        <v>360</v>
      </c>
      <c r="C789" t="s">
        <v>910</v>
      </c>
      <c r="D789" t="s">
        <v>1782</v>
      </c>
      <c r="E789" t="s">
        <v>1783</v>
      </c>
      <c r="F789" t="s">
        <v>21</v>
      </c>
      <c r="G789" t="s">
        <v>21</v>
      </c>
      <c r="H789" t="s">
        <v>22</v>
      </c>
      <c r="I789">
        <v>14</v>
      </c>
      <c r="J789">
        <v>14</v>
      </c>
      <c r="K789">
        <v>0</v>
      </c>
    </row>
    <row r="790" spans="1:11" x14ac:dyDescent="0.15">
      <c r="A790" t="s">
        <v>15</v>
      </c>
      <c r="B790" t="s">
        <v>566</v>
      </c>
      <c r="C790" t="s">
        <v>76</v>
      </c>
      <c r="D790" t="s">
        <v>1784</v>
      </c>
      <c r="E790" t="s">
        <v>1785</v>
      </c>
      <c r="F790" t="s">
        <v>21</v>
      </c>
      <c r="G790" t="s">
        <v>21</v>
      </c>
      <c r="H790" t="s">
        <v>22</v>
      </c>
      <c r="I790">
        <v>24</v>
      </c>
      <c r="J790">
        <v>24</v>
      </c>
      <c r="K790">
        <v>0</v>
      </c>
    </row>
    <row r="791" spans="1:11" x14ac:dyDescent="0.15">
      <c r="A791" t="s">
        <v>184</v>
      </c>
      <c r="B791" t="s">
        <v>623</v>
      </c>
      <c r="C791" t="s">
        <v>910</v>
      </c>
      <c r="D791" t="s">
        <v>1786</v>
      </c>
      <c r="E791" t="s">
        <v>1787</v>
      </c>
      <c r="F791" t="s">
        <v>21</v>
      </c>
      <c r="G791" t="s">
        <v>21</v>
      </c>
      <c r="H791" t="s">
        <v>22</v>
      </c>
      <c r="I791">
        <v>6</v>
      </c>
      <c r="J791">
        <v>6</v>
      </c>
      <c r="K791">
        <v>0</v>
      </c>
    </row>
    <row r="792" spans="1:11" x14ac:dyDescent="0.15">
      <c r="A792" t="s">
        <v>15</v>
      </c>
      <c r="B792" t="s">
        <v>443</v>
      </c>
      <c r="C792" t="s">
        <v>910</v>
      </c>
      <c r="D792" t="s">
        <v>1788</v>
      </c>
      <c r="E792" t="s">
        <v>1789</v>
      </c>
      <c r="F792" t="s">
        <v>21</v>
      </c>
      <c r="G792" t="s">
        <v>21</v>
      </c>
      <c r="H792" t="s">
        <v>22</v>
      </c>
      <c r="I792">
        <v>20</v>
      </c>
      <c r="J792">
        <v>20</v>
      </c>
      <c r="K792">
        <v>0</v>
      </c>
    </row>
    <row r="793" spans="1:11" x14ac:dyDescent="0.15">
      <c r="A793" t="s">
        <v>15</v>
      </c>
      <c r="B793" t="s">
        <v>443</v>
      </c>
      <c r="C793" t="s">
        <v>910</v>
      </c>
      <c r="D793" t="s">
        <v>1790</v>
      </c>
      <c r="E793" t="s">
        <v>1791</v>
      </c>
      <c r="F793" t="s">
        <v>21</v>
      </c>
      <c r="G793" t="s">
        <v>21</v>
      </c>
      <c r="H793" t="s">
        <v>22</v>
      </c>
      <c r="I793">
        <v>3</v>
      </c>
      <c r="J793">
        <v>3</v>
      </c>
      <c r="K793">
        <v>0</v>
      </c>
    </row>
    <row r="794" spans="1:11" x14ac:dyDescent="0.15">
      <c r="A794" t="s">
        <v>15</v>
      </c>
      <c r="B794" t="s">
        <v>443</v>
      </c>
      <c r="C794" t="s">
        <v>910</v>
      </c>
      <c r="D794" t="s">
        <v>1792</v>
      </c>
      <c r="E794" t="s">
        <v>1793</v>
      </c>
      <c r="F794" t="s">
        <v>21</v>
      </c>
      <c r="G794" t="s">
        <v>21</v>
      </c>
      <c r="H794" t="s">
        <v>22</v>
      </c>
      <c r="I794">
        <v>13</v>
      </c>
      <c r="J794">
        <v>13</v>
      </c>
      <c r="K794">
        <v>0</v>
      </c>
    </row>
    <row r="795" spans="1:11" x14ac:dyDescent="0.15">
      <c r="A795" t="s">
        <v>15</v>
      </c>
      <c r="B795" t="s">
        <v>443</v>
      </c>
      <c r="C795" t="s">
        <v>910</v>
      </c>
      <c r="D795" t="s">
        <v>1794</v>
      </c>
      <c r="E795" t="s">
        <v>1795</v>
      </c>
      <c r="F795" t="s">
        <v>21</v>
      </c>
      <c r="G795" t="s">
        <v>21</v>
      </c>
      <c r="H795" t="s">
        <v>22</v>
      </c>
      <c r="I795">
        <v>26</v>
      </c>
      <c r="J795">
        <v>26</v>
      </c>
      <c r="K795">
        <v>0</v>
      </c>
    </row>
    <row r="796" spans="1:11" x14ac:dyDescent="0.15">
      <c r="A796" t="s">
        <v>184</v>
      </c>
      <c r="B796" t="s">
        <v>623</v>
      </c>
      <c r="C796" t="s">
        <v>910</v>
      </c>
      <c r="D796" t="s">
        <v>1796</v>
      </c>
      <c r="E796" t="s">
        <v>1797</v>
      </c>
      <c r="F796" t="s">
        <v>21</v>
      </c>
      <c r="G796" t="s">
        <v>21</v>
      </c>
      <c r="H796" t="s">
        <v>22</v>
      </c>
      <c r="I796">
        <v>10</v>
      </c>
      <c r="J796">
        <v>10</v>
      </c>
      <c r="K796">
        <v>0</v>
      </c>
    </row>
    <row r="797" spans="1:11" x14ac:dyDescent="0.15">
      <c r="A797" t="s">
        <v>15</v>
      </c>
      <c r="B797" t="s">
        <v>100</v>
      </c>
      <c r="C797" t="s">
        <v>528</v>
      </c>
      <c r="D797" t="s">
        <v>1798</v>
      </c>
      <c r="E797" t="s">
        <v>1799</v>
      </c>
      <c r="F797" t="s">
        <v>21</v>
      </c>
      <c r="G797" t="s">
        <v>21</v>
      </c>
      <c r="H797" t="s">
        <v>22</v>
      </c>
      <c r="I797">
        <v>14</v>
      </c>
      <c r="J797">
        <v>14</v>
      </c>
      <c r="K797">
        <v>0</v>
      </c>
    </row>
    <row r="798" spans="1:11" x14ac:dyDescent="0.15">
      <c r="A798" t="s">
        <v>184</v>
      </c>
      <c r="B798" t="s">
        <v>185</v>
      </c>
      <c r="C798" t="s">
        <v>910</v>
      </c>
      <c r="D798" t="s">
        <v>1800</v>
      </c>
      <c r="E798" t="s">
        <v>1801</v>
      </c>
      <c r="F798" t="s">
        <v>21</v>
      </c>
      <c r="G798" t="s">
        <v>21</v>
      </c>
      <c r="H798" t="s">
        <v>22</v>
      </c>
      <c r="I798">
        <v>2</v>
      </c>
      <c r="J798">
        <v>2</v>
      </c>
      <c r="K798">
        <v>0</v>
      </c>
    </row>
    <row r="799" spans="1:11" x14ac:dyDescent="0.15">
      <c r="A799" t="s">
        <v>138</v>
      </c>
      <c r="B799" t="s">
        <v>336</v>
      </c>
      <c r="C799" t="s">
        <v>145</v>
      </c>
      <c r="D799" t="s">
        <v>1802</v>
      </c>
      <c r="E799" t="s">
        <v>1803</v>
      </c>
      <c r="F799" t="s">
        <v>21</v>
      </c>
      <c r="G799" t="s">
        <v>21</v>
      </c>
      <c r="H799" t="s">
        <v>22</v>
      </c>
      <c r="I799">
        <v>5</v>
      </c>
      <c r="J799">
        <v>5</v>
      </c>
      <c r="K799">
        <v>0</v>
      </c>
    </row>
    <row r="800" spans="1:11" x14ac:dyDescent="0.15">
      <c r="A800" t="s">
        <v>15</v>
      </c>
      <c r="B800" t="s">
        <v>49</v>
      </c>
      <c r="C800" t="s">
        <v>910</v>
      </c>
      <c r="D800" t="s">
        <v>1804</v>
      </c>
      <c r="E800" t="s">
        <v>1805</v>
      </c>
      <c r="F800" t="s">
        <v>21</v>
      </c>
      <c r="G800" t="s">
        <v>21</v>
      </c>
      <c r="H800" t="s">
        <v>22</v>
      </c>
      <c r="I800">
        <v>3</v>
      </c>
      <c r="J800">
        <v>3</v>
      </c>
      <c r="K800">
        <v>0</v>
      </c>
    </row>
    <row r="801" spans="1:11" x14ac:dyDescent="0.15">
      <c r="A801" t="s">
        <v>15</v>
      </c>
      <c r="B801" t="s">
        <v>49</v>
      </c>
      <c r="C801" t="s">
        <v>910</v>
      </c>
      <c r="D801" t="s">
        <v>1806</v>
      </c>
      <c r="E801" t="s">
        <v>1807</v>
      </c>
      <c r="F801" t="s">
        <v>21</v>
      </c>
      <c r="G801" t="s">
        <v>21</v>
      </c>
      <c r="H801" t="s">
        <v>22</v>
      </c>
      <c r="I801">
        <v>40</v>
      </c>
      <c r="J801">
        <v>41</v>
      </c>
      <c r="K801">
        <v>1</v>
      </c>
    </row>
    <row r="802" spans="1:11" x14ac:dyDescent="0.15">
      <c r="A802" t="s">
        <v>15</v>
      </c>
      <c r="B802" t="s">
        <v>1808</v>
      </c>
      <c r="C802" t="s">
        <v>910</v>
      </c>
      <c r="D802" t="s">
        <v>1809</v>
      </c>
      <c r="E802" t="s">
        <v>1810</v>
      </c>
      <c r="F802" t="s">
        <v>21</v>
      </c>
      <c r="G802" t="s">
        <v>21</v>
      </c>
      <c r="H802" t="s">
        <v>22</v>
      </c>
      <c r="I802">
        <v>3</v>
      </c>
      <c r="J802">
        <v>3</v>
      </c>
      <c r="K802">
        <v>0</v>
      </c>
    </row>
    <row r="803" spans="1:11" x14ac:dyDescent="0.15">
      <c r="A803" t="s">
        <v>184</v>
      </c>
      <c r="B803" t="s">
        <v>515</v>
      </c>
      <c r="C803" t="s">
        <v>808</v>
      </c>
      <c r="D803" t="s">
        <v>1811</v>
      </c>
      <c r="E803" t="s">
        <v>1812</v>
      </c>
      <c r="F803" t="s">
        <v>21</v>
      </c>
      <c r="G803" t="s">
        <v>21</v>
      </c>
      <c r="H803" t="s">
        <v>22</v>
      </c>
      <c r="I803">
        <v>2</v>
      </c>
      <c r="J803">
        <v>2</v>
      </c>
      <c r="K803">
        <v>0</v>
      </c>
    </row>
    <row r="804" spans="1:11" x14ac:dyDescent="0.15">
      <c r="A804" t="s">
        <v>184</v>
      </c>
      <c r="B804" t="s">
        <v>515</v>
      </c>
      <c r="C804" t="s">
        <v>808</v>
      </c>
      <c r="D804" t="s">
        <v>1813</v>
      </c>
      <c r="E804" t="s">
        <v>1814</v>
      </c>
      <c r="F804" t="s">
        <v>21</v>
      </c>
      <c r="G804" t="s">
        <v>21</v>
      </c>
      <c r="H804" t="s">
        <v>22</v>
      </c>
      <c r="I804">
        <v>4</v>
      </c>
      <c r="J804">
        <v>5</v>
      </c>
      <c r="K804">
        <v>1</v>
      </c>
    </row>
    <row r="805" spans="1:11" x14ac:dyDescent="0.15">
      <c r="A805" t="s">
        <v>184</v>
      </c>
      <c r="B805" t="s">
        <v>515</v>
      </c>
      <c r="C805" t="s">
        <v>808</v>
      </c>
      <c r="D805" t="s">
        <v>1815</v>
      </c>
      <c r="E805" t="s">
        <v>1816</v>
      </c>
      <c r="F805" t="s">
        <v>21</v>
      </c>
      <c r="G805" t="s">
        <v>21</v>
      </c>
      <c r="H805" t="s">
        <v>22</v>
      </c>
      <c r="I805">
        <v>6</v>
      </c>
      <c r="J805">
        <v>6</v>
      </c>
      <c r="K805">
        <v>0</v>
      </c>
    </row>
    <row r="806" spans="1:11" x14ac:dyDescent="0.15">
      <c r="A806" t="s">
        <v>184</v>
      </c>
      <c r="B806" t="s">
        <v>515</v>
      </c>
      <c r="C806" t="s">
        <v>808</v>
      </c>
      <c r="D806" t="s">
        <v>1817</v>
      </c>
      <c r="E806" t="s">
        <v>1818</v>
      </c>
      <c r="F806" t="s">
        <v>21</v>
      </c>
      <c r="G806" t="s">
        <v>21</v>
      </c>
      <c r="H806" t="s">
        <v>22</v>
      </c>
      <c r="I806">
        <v>3</v>
      </c>
      <c r="J806">
        <v>3</v>
      </c>
      <c r="K806">
        <v>0</v>
      </c>
    </row>
    <row r="807" spans="1:11" x14ac:dyDescent="0.15">
      <c r="A807" t="s">
        <v>184</v>
      </c>
      <c r="B807" t="s">
        <v>515</v>
      </c>
      <c r="C807" t="s">
        <v>910</v>
      </c>
      <c r="D807" t="s">
        <v>1819</v>
      </c>
      <c r="E807" t="s">
        <v>1820</v>
      </c>
      <c r="F807" t="s">
        <v>21</v>
      </c>
      <c r="G807" t="s">
        <v>21</v>
      </c>
      <c r="H807" t="s">
        <v>22</v>
      </c>
      <c r="I807">
        <v>9</v>
      </c>
      <c r="J807">
        <v>9</v>
      </c>
      <c r="K807">
        <v>0</v>
      </c>
    </row>
    <row r="808" spans="1:11" x14ac:dyDescent="0.15">
      <c r="A808" t="s">
        <v>184</v>
      </c>
      <c r="B808" t="s">
        <v>515</v>
      </c>
      <c r="C808" t="s">
        <v>910</v>
      </c>
      <c r="D808" t="s">
        <v>1821</v>
      </c>
      <c r="E808" t="s">
        <v>1822</v>
      </c>
      <c r="F808" t="s">
        <v>21</v>
      </c>
      <c r="G808" t="s">
        <v>21</v>
      </c>
      <c r="H808" t="s">
        <v>22</v>
      </c>
      <c r="I808">
        <v>15</v>
      </c>
      <c r="J808">
        <v>17</v>
      </c>
      <c r="K808">
        <v>2</v>
      </c>
    </row>
    <row r="809" spans="1:11" x14ac:dyDescent="0.15">
      <c r="A809" t="s">
        <v>15</v>
      </c>
      <c r="B809" t="s">
        <v>443</v>
      </c>
      <c r="C809" t="s">
        <v>910</v>
      </c>
      <c r="D809" t="s">
        <v>1823</v>
      </c>
      <c r="E809" t="s">
        <v>1824</v>
      </c>
      <c r="F809" t="s">
        <v>21</v>
      </c>
      <c r="G809" t="s">
        <v>21</v>
      </c>
      <c r="H809" t="s">
        <v>22</v>
      </c>
      <c r="I809">
        <v>6</v>
      </c>
      <c r="J809">
        <v>6</v>
      </c>
      <c r="K809">
        <v>0</v>
      </c>
    </row>
    <row r="810" spans="1:11" x14ac:dyDescent="0.15">
      <c r="A810" t="s">
        <v>138</v>
      </c>
      <c r="B810" t="s">
        <v>381</v>
      </c>
      <c r="C810" t="s">
        <v>667</v>
      </c>
      <c r="D810" t="s">
        <v>1825</v>
      </c>
      <c r="E810" t="s">
        <v>1826</v>
      </c>
      <c r="F810" t="s">
        <v>21</v>
      </c>
      <c r="G810" t="s">
        <v>21</v>
      </c>
      <c r="H810" t="s">
        <v>22</v>
      </c>
      <c r="I810">
        <v>7</v>
      </c>
      <c r="J810">
        <v>7</v>
      </c>
      <c r="K810">
        <v>0</v>
      </c>
    </row>
    <row r="811" spans="1:11" x14ac:dyDescent="0.15">
      <c r="A811" t="s">
        <v>184</v>
      </c>
      <c r="B811" t="s">
        <v>185</v>
      </c>
      <c r="C811" t="s">
        <v>910</v>
      </c>
      <c r="D811" t="s">
        <v>1827</v>
      </c>
      <c r="E811" t="s">
        <v>1828</v>
      </c>
      <c r="F811" t="s">
        <v>21</v>
      </c>
      <c r="G811" t="s">
        <v>21</v>
      </c>
      <c r="H811" t="s">
        <v>22</v>
      </c>
      <c r="I811">
        <v>1</v>
      </c>
      <c r="J811">
        <v>1</v>
      </c>
      <c r="K811">
        <v>0</v>
      </c>
    </row>
    <row r="812" spans="1:11" x14ac:dyDescent="0.15">
      <c r="A812" t="s">
        <v>184</v>
      </c>
      <c r="B812" t="s">
        <v>185</v>
      </c>
      <c r="C812" t="s">
        <v>910</v>
      </c>
      <c r="D812" t="s">
        <v>1829</v>
      </c>
      <c r="E812" t="s">
        <v>1830</v>
      </c>
      <c r="F812" t="s">
        <v>21</v>
      </c>
      <c r="G812" t="s">
        <v>21</v>
      </c>
      <c r="H812" t="s">
        <v>22</v>
      </c>
      <c r="I812">
        <v>26</v>
      </c>
      <c r="J812">
        <v>26</v>
      </c>
      <c r="K812">
        <v>0</v>
      </c>
    </row>
    <row r="813" spans="1:11" x14ac:dyDescent="0.15">
      <c r="A813" t="s">
        <v>184</v>
      </c>
      <c r="B813" t="s">
        <v>185</v>
      </c>
      <c r="C813" t="s">
        <v>910</v>
      </c>
      <c r="D813" t="s">
        <v>1831</v>
      </c>
      <c r="E813" t="s">
        <v>1832</v>
      </c>
      <c r="F813" t="s">
        <v>21</v>
      </c>
      <c r="G813" t="s">
        <v>21</v>
      </c>
      <c r="H813" t="s">
        <v>22</v>
      </c>
      <c r="I813">
        <v>18</v>
      </c>
      <c r="J813">
        <v>19</v>
      </c>
      <c r="K813">
        <v>1</v>
      </c>
    </row>
    <row r="814" spans="1:11" x14ac:dyDescent="0.15">
      <c r="A814" t="s">
        <v>184</v>
      </c>
      <c r="B814" t="s">
        <v>185</v>
      </c>
      <c r="C814" t="s">
        <v>910</v>
      </c>
      <c r="D814" t="s">
        <v>1833</v>
      </c>
      <c r="E814" t="s">
        <v>1834</v>
      </c>
      <c r="F814" t="s">
        <v>21</v>
      </c>
      <c r="G814" t="s">
        <v>21</v>
      </c>
      <c r="H814" t="s">
        <v>22</v>
      </c>
      <c r="I814">
        <v>6</v>
      </c>
      <c r="J814">
        <v>6</v>
      </c>
      <c r="K814">
        <v>0</v>
      </c>
    </row>
    <row r="815" spans="1:11" x14ac:dyDescent="0.15">
      <c r="A815" t="s">
        <v>184</v>
      </c>
      <c r="B815" t="s">
        <v>185</v>
      </c>
      <c r="C815" t="s">
        <v>910</v>
      </c>
      <c r="D815" t="s">
        <v>1835</v>
      </c>
      <c r="E815" t="s">
        <v>1768</v>
      </c>
      <c r="F815" t="s">
        <v>21</v>
      </c>
      <c r="G815" t="s">
        <v>21</v>
      </c>
      <c r="H815" t="s">
        <v>22</v>
      </c>
      <c r="I815">
        <v>8</v>
      </c>
      <c r="J815">
        <v>8</v>
      </c>
      <c r="K815">
        <v>0</v>
      </c>
    </row>
    <row r="816" spans="1:11" x14ac:dyDescent="0.15">
      <c r="A816" t="s">
        <v>184</v>
      </c>
      <c r="B816" t="s">
        <v>185</v>
      </c>
      <c r="C816" t="s">
        <v>910</v>
      </c>
      <c r="D816" t="s">
        <v>1836</v>
      </c>
      <c r="E816" t="s">
        <v>1830</v>
      </c>
      <c r="F816" t="s">
        <v>21</v>
      </c>
      <c r="G816" t="s">
        <v>21</v>
      </c>
      <c r="H816" t="s">
        <v>22</v>
      </c>
      <c r="I816">
        <v>21</v>
      </c>
      <c r="J816">
        <v>21</v>
      </c>
      <c r="K816">
        <v>0</v>
      </c>
    </row>
    <row r="817" spans="1:11" x14ac:dyDescent="0.15">
      <c r="A817" t="s">
        <v>15</v>
      </c>
      <c r="B817" t="s">
        <v>49</v>
      </c>
      <c r="C817" t="s">
        <v>1042</v>
      </c>
      <c r="D817" t="s">
        <v>1837</v>
      </c>
      <c r="E817" t="s">
        <v>1838</v>
      </c>
      <c r="F817" t="s">
        <v>21</v>
      </c>
      <c r="G817" t="s">
        <v>21</v>
      </c>
      <c r="H817" t="s">
        <v>22</v>
      </c>
      <c r="I817">
        <v>2</v>
      </c>
      <c r="J817">
        <v>2</v>
      </c>
      <c r="K817">
        <v>0</v>
      </c>
    </row>
    <row r="818" spans="1:11" x14ac:dyDescent="0.15">
      <c r="A818" t="s">
        <v>15</v>
      </c>
      <c r="B818" t="s">
        <v>1038</v>
      </c>
      <c r="C818" t="s">
        <v>1039</v>
      </c>
      <c r="D818" t="s">
        <v>1839</v>
      </c>
      <c r="E818" t="s">
        <v>1840</v>
      </c>
      <c r="F818" t="s">
        <v>21</v>
      </c>
      <c r="G818" t="s">
        <v>21</v>
      </c>
      <c r="H818" t="s">
        <v>22</v>
      </c>
      <c r="I818">
        <v>1</v>
      </c>
      <c r="J818">
        <v>1</v>
      </c>
      <c r="K818">
        <v>0</v>
      </c>
    </row>
    <row r="819" spans="1:11" x14ac:dyDescent="0.15">
      <c r="A819" t="s">
        <v>15</v>
      </c>
      <c r="B819" t="s">
        <v>1038</v>
      </c>
      <c r="C819" t="s">
        <v>1039</v>
      </c>
      <c r="D819" t="s">
        <v>1841</v>
      </c>
      <c r="E819" t="s">
        <v>1842</v>
      </c>
      <c r="F819" t="s">
        <v>21</v>
      </c>
      <c r="G819" t="s">
        <v>21</v>
      </c>
      <c r="H819" t="s">
        <v>22</v>
      </c>
      <c r="I819">
        <v>5</v>
      </c>
      <c r="J819">
        <v>5</v>
      </c>
      <c r="K819">
        <v>0</v>
      </c>
    </row>
    <row r="820" spans="1:11" x14ac:dyDescent="0.15">
      <c r="A820" t="s">
        <v>15</v>
      </c>
      <c r="B820" t="s">
        <v>1038</v>
      </c>
      <c r="C820" t="s">
        <v>1039</v>
      </c>
      <c r="D820" t="s">
        <v>1843</v>
      </c>
      <c r="E820" t="s">
        <v>1844</v>
      </c>
      <c r="F820" t="s">
        <v>21</v>
      </c>
      <c r="G820" t="s">
        <v>21</v>
      </c>
      <c r="H820" t="s">
        <v>22</v>
      </c>
      <c r="I820">
        <v>5</v>
      </c>
      <c r="J820">
        <v>5</v>
      </c>
      <c r="K820">
        <v>0</v>
      </c>
    </row>
    <row r="821" spans="1:11" x14ac:dyDescent="0.15">
      <c r="A821" t="s">
        <v>15</v>
      </c>
      <c r="B821" t="s">
        <v>1038</v>
      </c>
      <c r="C821" t="s">
        <v>1039</v>
      </c>
      <c r="D821" t="s">
        <v>1845</v>
      </c>
      <c r="E821" t="s">
        <v>1844</v>
      </c>
      <c r="F821" t="s">
        <v>21</v>
      </c>
      <c r="G821" t="s">
        <v>21</v>
      </c>
      <c r="H821" t="s">
        <v>22</v>
      </c>
      <c r="I821">
        <v>3</v>
      </c>
      <c r="J821">
        <v>3</v>
      </c>
      <c r="K821">
        <v>0</v>
      </c>
    </row>
    <row r="822" spans="1:11" x14ac:dyDescent="0.15">
      <c r="A822" t="s">
        <v>15</v>
      </c>
      <c r="B822" t="s">
        <v>1038</v>
      </c>
      <c r="C822" t="s">
        <v>1039</v>
      </c>
      <c r="D822" t="s">
        <v>1846</v>
      </c>
      <c r="E822" t="s">
        <v>1847</v>
      </c>
      <c r="F822" t="s">
        <v>21</v>
      </c>
      <c r="G822" t="s">
        <v>21</v>
      </c>
      <c r="H822" t="s">
        <v>22</v>
      </c>
      <c r="I822">
        <v>5</v>
      </c>
      <c r="J822">
        <v>5</v>
      </c>
      <c r="K822">
        <v>0</v>
      </c>
    </row>
    <row r="823" spans="1:11" x14ac:dyDescent="0.15">
      <c r="A823" t="s">
        <v>15</v>
      </c>
      <c r="B823" t="s">
        <v>1038</v>
      </c>
      <c r="C823" t="s">
        <v>1039</v>
      </c>
      <c r="D823" t="s">
        <v>1848</v>
      </c>
      <c r="E823" t="s">
        <v>1847</v>
      </c>
      <c r="F823" t="s">
        <v>21</v>
      </c>
      <c r="G823" t="s">
        <v>21</v>
      </c>
      <c r="H823" t="s">
        <v>22</v>
      </c>
      <c r="I823">
        <v>6</v>
      </c>
      <c r="J823">
        <v>6</v>
      </c>
      <c r="K823">
        <v>0</v>
      </c>
    </row>
    <row r="824" spans="1:11" x14ac:dyDescent="0.15">
      <c r="A824" t="s">
        <v>15</v>
      </c>
      <c r="B824" t="s">
        <v>1038</v>
      </c>
      <c r="C824" t="s">
        <v>1039</v>
      </c>
      <c r="D824" t="s">
        <v>1849</v>
      </c>
      <c r="E824" t="s">
        <v>1847</v>
      </c>
      <c r="F824" t="s">
        <v>21</v>
      </c>
      <c r="G824" t="s">
        <v>21</v>
      </c>
      <c r="H824" t="s">
        <v>22</v>
      </c>
      <c r="I824">
        <v>5</v>
      </c>
      <c r="J824">
        <v>5</v>
      </c>
      <c r="K824">
        <v>0</v>
      </c>
    </row>
    <row r="825" spans="1:11" x14ac:dyDescent="0.15">
      <c r="A825" t="s">
        <v>15</v>
      </c>
      <c r="B825" t="s">
        <v>1038</v>
      </c>
      <c r="C825" t="s">
        <v>1039</v>
      </c>
      <c r="D825" t="s">
        <v>1850</v>
      </c>
      <c r="E825" t="s">
        <v>1851</v>
      </c>
      <c r="F825" t="s">
        <v>21</v>
      </c>
      <c r="G825" t="s">
        <v>21</v>
      </c>
      <c r="H825" t="s">
        <v>22</v>
      </c>
      <c r="I825">
        <v>5</v>
      </c>
      <c r="J825">
        <v>5</v>
      </c>
      <c r="K825">
        <v>0</v>
      </c>
    </row>
    <row r="826" spans="1:11" x14ac:dyDescent="0.15">
      <c r="A826" t="s">
        <v>15</v>
      </c>
      <c r="B826" t="s">
        <v>546</v>
      </c>
      <c r="C826" t="s">
        <v>1039</v>
      </c>
      <c r="D826" t="s">
        <v>1852</v>
      </c>
      <c r="E826" t="s">
        <v>1853</v>
      </c>
      <c r="F826" t="s">
        <v>21</v>
      </c>
      <c r="G826" t="s">
        <v>21</v>
      </c>
      <c r="H826" t="s">
        <v>22</v>
      </c>
      <c r="I826">
        <v>1</v>
      </c>
      <c r="J826">
        <v>1</v>
      </c>
      <c r="K826">
        <v>0</v>
      </c>
    </row>
    <row r="827" spans="1:11" x14ac:dyDescent="0.15">
      <c r="A827" t="s">
        <v>15</v>
      </c>
      <c r="B827" t="s">
        <v>1038</v>
      </c>
      <c r="C827" t="s">
        <v>1039</v>
      </c>
      <c r="D827" t="s">
        <v>1854</v>
      </c>
      <c r="E827" t="s">
        <v>1855</v>
      </c>
      <c r="F827" t="s">
        <v>21</v>
      </c>
      <c r="G827" t="s">
        <v>21</v>
      </c>
      <c r="H827" t="s">
        <v>22</v>
      </c>
      <c r="I827">
        <v>2</v>
      </c>
      <c r="J827">
        <v>2</v>
      </c>
      <c r="K827">
        <v>0</v>
      </c>
    </row>
    <row r="828" spans="1:11" x14ac:dyDescent="0.15">
      <c r="A828" t="s">
        <v>15</v>
      </c>
      <c r="B828" t="s">
        <v>1038</v>
      </c>
      <c r="C828" t="s">
        <v>1039</v>
      </c>
      <c r="D828" t="s">
        <v>1856</v>
      </c>
      <c r="E828" t="s">
        <v>1857</v>
      </c>
      <c r="F828" t="s">
        <v>21</v>
      </c>
      <c r="G828" t="s">
        <v>21</v>
      </c>
      <c r="H828" t="s">
        <v>22</v>
      </c>
      <c r="I828">
        <v>1</v>
      </c>
      <c r="J828">
        <v>1</v>
      </c>
      <c r="K828">
        <v>0</v>
      </c>
    </row>
    <row r="829" spans="1:11" x14ac:dyDescent="0.15">
      <c r="A829" t="s">
        <v>184</v>
      </c>
      <c r="B829" t="s">
        <v>904</v>
      </c>
      <c r="C829" t="s">
        <v>835</v>
      </c>
      <c r="D829" t="s">
        <v>1858</v>
      </c>
      <c r="E829" t="s">
        <v>1859</v>
      </c>
      <c r="F829" t="s">
        <v>21</v>
      </c>
      <c r="G829" t="s">
        <v>21</v>
      </c>
      <c r="H829" t="s">
        <v>22</v>
      </c>
      <c r="I829">
        <v>3</v>
      </c>
      <c r="J829">
        <v>4</v>
      </c>
      <c r="K829">
        <v>1</v>
      </c>
    </row>
    <row r="830" spans="1:11" x14ac:dyDescent="0.15">
      <c r="A830" t="s">
        <v>184</v>
      </c>
      <c r="B830" t="s">
        <v>904</v>
      </c>
      <c r="C830" t="s">
        <v>835</v>
      </c>
      <c r="D830" t="s">
        <v>1860</v>
      </c>
      <c r="E830" t="s">
        <v>1861</v>
      </c>
      <c r="F830" t="s">
        <v>21</v>
      </c>
      <c r="G830" t="s">
        <v>21</v>
      </c>
      <c r="H830" t="s">
        <v>22</v>
      </c>
      <c r="I830">
        <v>4</v>
      </c>
      <c r="J830">
        <v>5</v>
      </c>
      <c r="K830">
        <v>1</v>
      </c>
    </row>
    <row r="831" spans="1:11" x14ac:dyDescent="0.15">
      <c r="A831" t="s">
        <v>15</v>
      </c>
      <c r="B831" t="s">
        <v>443</v>
      </c>
      <c r="C831" t="s">
        <v>1862</v>
      </c>
      <c r="D831" t="s">
        <v>1863</v>
      </c>
      <c r="E831" t="s">
        <v>1864</v>
      </c>
      <c r="F831" t="s">
        <v>21</v>
      </c>
      <c r="G831" t="s">
        <v>21</v>
      </c>
      <c r="H831" t="s">
        <v>22</v>
      </c>
      <c r="I831">
        <v>31</v>
      </c>
      <c r="J831">
        <v>31</v>
      </c>
      <c r="K831">
        <v>0</v>
      </c>
    </row>
    <row r="832" spans="1:11" x14ac:dyDescent="0.15">
      <c r="A832" t="s">
        <v>184</v>
      </c>
      <c r="B832" t="s">
        <v>904</v>
      </c>
      <c r="C832" t="s">
        <v>835</v>
      </c>
      <c r="D832" t="s">
        <v>1865</v>
      </c>
      <c r="E832" t="s">
        <v>1866</v>
      </c>
      <c r="F832" t="s">
        <v>21</v>
      </c>
      <c r="G832" t="s">
        <v>21</v>
      </c>
      <c r="H832" t="s">
        <v>22</v>
      </c>
      <c r="I832">
        <v>8</v>
      </c>
      <c r="J832">
        <v>9</v>
      </c>
      <c r="K832">
        <v>1</v>
      </c>
    </row>
    <row r="833" spans="1:11" x14ac:dyDescent="0.15">
      <c r="A833" t="s">
        <v>184</v>
      </c>
      <c r="B833" t="s">
        <v>904</v>
      </c>
      <c r="C833" t="s">
        <v>835</v>
      </c>
      <c r="D833" t="s">
        <v>1867</v>
      </c>
      <c r="E833" t="s">
        <v>1868</v>
      </c>
      <c r="F833" t="s">
        <v>21</v>
      </c>
      <c r="G833" t="s">
        <v>21</v>
      </c>
      <c r="H833" t="s">
        <v>22</v>
      </c>
      <c r="I833">
        <v>2</v>
      </c>
      <c r="J833">
        <v>2</v>
      </c>
      <c r="K833">
        <v>0</v>
      </c>
    </row>
    <row r="834" spans="1:11" x14ac:dyDescent="0.15">
      <c r="A834" t="s">
        <v>15</v>
      </c>
      <c r="B834" t="s">
        <v>114</v>
      </c>
      <c r="C834" t="s">
        <v>1862</v>
      </c>
      <c r="D834" t="s">
        <v>1869</v>
      </c>
      <c r="E834" t="s">
        <v>1870</v>
      </c>
      <c r="F834" t="s">
        <v>21</v>
      </c>
      <c r="G834" t="s">
        <v>21</v>
      </c>
      <c r="H834" t="s">
        <v>22</v>
      </c>
      <c r="I834">
        <v>1</v>
      </c>
      <c r="J834">
        <v>1</v>
      </c>
      <c r="K834">
        <v>0</v>
      </c>
    </row>
    <row r="835" spans="1:11" x14ac:dyDescent="0.15">
      <c r="A835" t="s">
        <v>184</v>
      </c>
      <c r="B835" t="s">
        <v>432</v>
      </c>
      <c r="C835" t="s">
        <v>835</v>
      </c>
      <c r="D835" t="s">
        <v>1871</v>
      </c>
      <c r="E835" t="s">
        <v>1872</v>
      </c>
      <c r="F835" t="s">
        <v>21</v>
      </c>
      <c r="G835" t="s">
        <v>21</v>
      </c>
      <c r="H835" t="s">
        <v>22</v>
      </c>
      <c r="I835">
        <v>20</v>
      </c>
      <c r="J835">
        <v>23</v>
      </c>
      <c r="K835">
        <v>3</v>
      </c>
    </row>
    <row r="836" spans="1:11" x14ac:dyDescent="0.15">
      <c r="A836" t="s">
        <v>184</v>
      </c>
      <c r="B836" t="s">
        <v>432</v>
      </c>
      <c r="C836" t="s">
        <v>835</v>
      </c>
      <c r="D836" t="s">
        <v>1873</v>
      </c>
      <c r="E836" t="s">
        <v>1874</v>
      </c>
      <c r="F836" t="s">
        <v>21</v>
      </c>
      <c r="G836" t="s">
        <v>21</v>
      </c>
      <c r="H836" t="s">
        <v>22</v>
      </c>
      <c r="I836">
        <v>3</v>
      </c>
      <c r="J836">
        <v>5</v>
      </c>
      <c r="K836">
        <v>2</v>
      </c>
    </row>
    <row r="837" spans="1:11" x14ac:dyDescent="0.15">
      <c r="A837" t="s">
        <v>15</v>
      </c>
      <c r="B837" t="s">
        <v>443</v>
      </c>
      <c r="C837" t="s">
        <v>835</v>
      </c>
      <c r="D837" t="s">
        <v>1875</v>
      </c>
      <c r="E837" t="s">
        <v>1876</v>
      </c>
      <c r="F837" t="s">
        <v>21</v>
      </c>
      <c r="G837" t="s">
        <v>21</v>
      </c>
      <c r="H837" t="s">
        <v>22</v>
      </c>
      <c r="I837">
        <v>12</v>
      </c>
      <c r="J837">
        <v>12</v>
      </c>
      <c r="K837">
        <v>0</v>
      </c>
    </row>
    <row r="838" spans="1:11" x14ac:dyDescent="0.15">
      <c r="A838" t="s">
        <v>15</v>
      </c>
      <c r="B838" t="s">
        <v>49</v>
      </c>
      <c r="C838" t="s">
        <v>808</v>
      </c>
      <c r="D838" t="s">
        <v>1877</v>
      </c>
      <c r="E838" t="s">
        <v>1878</v>
      </c>
      <c r="F838" t="s">
        <v>21</v>
      </c>
      <c r="G838" t="s">
        <v>21</v>
      </c>
      <c r="H838" t="s">
        <v>22</v>
      </c>
      <c r="I838">
        <v>14</v>
      </c>
      <c r="J838">
        <v>14</v>
      </c>
      <c r="K838">
        <v>0</v>
      </c>
    </row>
    <row r="839" spans="1:11" x14ac:dyDescent="0.15">
      <c r="A839" t="s">
        <v>15</v>
      </c>
      <c r="B839" t="s">
        <v>49</v>
      </c>
      <c r="C839" t="s">
        <v>808</v>
      </c>
      <c r="D839" t="s">
        <v>1879</v>
      </c>
      <c r="E839" t="s">
        <v>1880</v>
      </c>
      <c r="F839" t="s">
        <v>21</v>
      </c>
      <c r="G839" t="s">
        <v>21</v>
      </c>
      <c r="H839" t="s">
        <v>22</v>
      </c>
      <c r="I839">
        <v>7</v>
      </c>
      <c r="J839">
        <v>7</v>
      </c>
      <c r="K839">
        <v>0</v>
      </c>
    </row>
    <row r="840" spans="1:11" x14ac:dyDescent="0.15">
      <c r="A840" t="s">
        <v>184</v>
      </c>
      <c r="B840" t="s">
        <v>432</v>
      </c>
      <c r="C840" t="s">
        <v>145</v>
      </c>
      <c r="D840" t="s">
        <v>1881</v>
      </c>
      <c r="E840" t="s">
        <v>1882</v>
      </c>
      <c r="F840" t="s">
        <v>21</v>
      </c>
      <c r="G840" t="s">
        <v>21</v>
      </c>
      <c r="H840" t="s">
        <v>22</v>
      </c>
      <c r="I840">
        <v>8</v>
      </c>
      <c r="J840">
        <v>8</v>
      </c>
      <c r="K840">
        <v>0</v>
      </c>
    </row>
    <row r="841" spans="1:11" x14ac:dyDescent="0.15">
      <c r="A841" t="s">
        <v>15</v>
      </c>
      <c r="B841" t="s">
        <v>566</v>
      </c>
      <c r="C841" t="s">
        <v>830</v>
      </c>
      <c r="D841" t="s">
        <v>1883</v>
      </c>
      <c r="E841" t="s">
        <v>1884</v>
      </c>
      <c r="F841" t="s">
        <v>21</v>
      </c>
      <c r="G841" t="s">
        <v>21</v>
      </c>
      <c r="H841" t="s">
        <v>22</v>
      </c>
      <c r="I841">
        <v>16</v>
      </c>
      <c r="J841">
        <v>16</v>
      </c>
      <c r="K841">
        <v>0</v>
      </c>
    </row>
    <row r="842" spans="1:11" x14ac:dyDescent="0.15">
      <c r="A842" t="s">
        <v>138</v>
      </c>
      <c r="B842" t="s">
        <v>508</v>
      </c>
      <c r="C842" t="s">
        <v>145</v>
      </c>
      <c r="D842" t="s">
        <v>1885</v>
      </c>
      <c r="E842" t="s">
        <v>1886</v>
      </c>
      <c r="F842" t="s">
        <v>21</v>
      </c>
      <c r="G842" t="s">
        <v>21</v>
      </c>
      <c r="H842" t="s">
        <v>22</v>
      </c>
      <c r="I842">
        <v>1</v>
      </c>
      <c r="J842">
        <v>1</v>
      </c>
      <c r="K842">
        <v>0</v>
      </c>
    </row>
    <row r="843" spans="1:11" x14ac:dyDescent="0.15">
      <c r="A843" t="s">
        <v>15</v>
      </c>
      <c r="B843" t="s">
        <v>443</v>
      </c>
      <c r="C843" t="s">
        <v>1042</v>
      </c>
      <c r="D843" t="s">
        <v>1887</v>
      </c>
      <c r="E843" t="s">
        <v>1888</v>
      </c>
      <c r="F843" t="s">
        <v>21</v>
      </c>
      <c r="G843" t="s">
        <v>21</v>
      </c>
      <c r="H843" t="s">
        <v>22</v>
      </c>
      <c r="I843">
        <v>0</v>
      </c>
      <c r="J843">
        <v>2</v>
      </c>
      <c r="K843">
        <v>2</v>
      </c>
    </row>
    <row r="844" spans="1:11" x14ac:dyDescent="0.15">
      <c r="A844" t="s">
        <v>15</v>
      </c>
      <c r="B844" t="s">
        <v>443</v>
      </c>
      <c r="C844" t="s">
        <v>1042</v>
      </c>
      <c r="D844" t="s">
        <v>1889</v>
      </c>
      <c r="E844" t="s">
        <v>1890</v>
      </c>
      <c r="F844" t="s">
        <v>21</v>
      </c>
      <c r="G844" t="s">
        <v>21</v>
      </c>
      <c r="H844" t="s">
        <v>22</v>
      </c>
      <c r="I844">
        <v>7</v>
      </c>
      <c r="J844">
        <v>10</v>
      </c>
      <c r="K844">
        <v>3</v>
      </c>
    </row>
    <row r="845" spans="1:11" x14ac:dyDescent="0.15">
      <c r="A845" t="s">
        <v>15</v>
      </c>
      <c r="B845" t="s">
        <v>443</v>
      </c>
      <c r="C845" t="s">
        <v>1042</v>
      </c>
      <c r="D845" t="s">
        <v>1891</v>
      </c>
      <c r="E845" t="s">
        <v>1892</v>
      </c>
      <c r="F845" t="s">
        <v>21</v>
      </c>
      <c r="G845" t="s">
        <v>21</v>
      </c>
      <c r="H845" t="s">
        <v>22</v>
      </c>
      <c r="I845">
        <v>0</v>
      </c>
      <c r="J845">
        <v>2</v>
      </c>
      <c r="K845">
        <v>2</v>
      </c>
    </row>
    <row r="846" spans="1:11" x14ac:dyDescent="0.15">
      <c r="A846" t="s">
        <v>15</v>
      </c>
      <c r="B846" t="s">
        <v>1269</v>
      </c>
      <c r="C846" t="s">
        <v>1893</v>
      </c>
      <c r="D846" t="s">
        <v>1894</v>
      </c>
      <c r="E846" t="s">
        <v>1895</v>
      </c>
      <c r="F846" t="s">
        <v>21</v>
      </c>
      <c r="G846" t="s">
        <v>21</v>
      </c>
      <c r="H846" t="s">
        <v>22</v>
      </c>
      <c r="I846">
        <v>6</v>
      </c>
      <c r="J846">
        <v>8</v>
      </c>
      <c r="K846">
        <v>2</v>
      </c>
    </row>
    <row r="847" spans="1:11" x14ac:dyDescent="0.15">
      <c r="A847" t="s">
        <v>15</v>
      </c>
      <c r="B847" t="s">
        <v>1269</v>
      </c>
      <c r="C847" t="s">
        <v>1893</v>
      </c>
      <c r="D847" t="s">
        <v>1896</v>
      </c>
      <c r="E847" t="s">
        <v>1897</v>
      </c>
      <c r="F847" t="s">
        <v>21</v>
      </c>
      <c r="G847" t="s">
        <v>21</v>
      </c>
      <c r="H847" t="s">
        <v>22</v>
      </c>
      <c r="I847">
        <v>0</v>
      </c>
      <c r="J847">
        <v>2</v>
      </c>
      <c r="K847">
        <v>2</v>
      </c>
    </row>
    <row r="848" spans="1:11" x14ac:dyDescent="0.15">
      <c r="A848" t="s">
        <v>15</v>
      </c>
      <c r="B848" t="s">
        <v>1269</v>
      </c>
      <c r="C848" t="s">
        <v>1893</v>
      </c>
      <c r="D848" t="s">
        <v>1898</v>
      </c>
      <c r="E848" t="s">
        <v>1899</v>
      </c>
      <c r="F848" t="s">
        <v>21</v>
      </c>
      <c r="G848" t="s">
        <v>21</v>
      </c>
      <c r="H848" t="s">
        <v>22</v>
      </c>
      <c r="I848">
        <v>6</v>
      </c>
      <c r="J848">
        <v>8</v>
      </c>
      <c r="K848">
        <v>2</v>
      </c>
    </row>
    <row r="849" spans="1:11" x14ac:dyDescent="0.15">
      <c r="A849" t="s">
        <v>15</v>
      </c>
      <c r="B849" t="s">
        <v>1269</v>
      </c>
      <c r="C849" t="s">
        <v>1893</v>
      </c>
      <c r="D849" t="s">
        <v>1900</v>
      </c>
      <c r="E849" t="s">
        <v>1901</v>
      </c>
      <c r="F849" t="s">
        <v>21</v>
      </c>
      <c r="G849" t="s">
        <v>21</v>
      </c>
      <c r="H849" t="s">
        <v>22</v>
      </c>
      <c r="I849">
        <v>6</v>
      </c>
      <c r="J849">
        <v>8</v>
      </c>
      <c r="K849">
        <v>2</v>
      </c>
    </row>
    <row r="850" spans="1:11" x14ac:dyDescent="0.15">
      <c r="A850" t="s">
        <v>15</v>
      </c>
      <c r="B850" t="s">
        <v>1269</v>
      </c>
      <c r="C850" t="s">
        <v>1893</v>
      </c>
      <c r="D850" t="s">
        <v>1902</v>
      </c>
      <c r="E850" t="s">
        <v>1903</v>
      </c>
      <c r="F850" t="s">
        <v>21</v>
      </c>
      <c r="G850" t="s">
        <v>21</v>
      </c>
      <c r="H850" t="s">
        <v>22</v>
      </c>
      <c r="I850">
        <v>6</v>
      </c>
      <c r="J850">
        <v>8</v>
      </c>
      <c r="K850">
        <v>2</v>
      </c>
    </row>
    <row r="851" spans="1:11" x14ac:dyDescent="0.15">
      <c r="A851" t="s">
        <v>15</v>
      </c>
      <c r="B851" t="s">
        <v>1269</v>
      </c>
      <c r="C851" t="s">
        <v>1893</v>
      </c>
      <c r="D851" t="s">
        <v>1904</v>
      </c>
      <c r="E851" t="s">
        <v>1905</v>
      </c>
      <c r="F851" t="s">
        <v>21</v>
      </c>
      <c r="G851" t="s">
        <v>21</v>
      </c>
      <c r="H851" t="s">
        <v>22</v>
      </c>
      <c r="I851">
        <v>1</v>
      </c>
      <c r="J851">
        <v>3</v>
      </c>
      <c r="K851">
        <v>2</v>
      </c>
    </row>
    <row r="852" spans="1:11" x14ac:dyDescent="0.15">
      <c r="A852" t="s">
        <v>15</v>
      </c>
      <c r="B852" t="s">
        <v>1269</v>
      </c>
      <c r="C852" t="s">
        <v>1893</v>
      </c>
      <c r="D852" t="s">
        <v>1906</v>
      </c>
      <c r="E852" t="s">
        <v>1907</v>
      </c>
      <c r="F852" t="s">
        <v>21</v>
      </c>
      <c r="G852" t="s">
        <v>21</v>
      </c>
      <c r="H852" t="s">
        <v>22</v>
      </c>
      <c r="I852">
        <v>6</v>
      </c>
      <c r="J852">
        <v>8</v>
      </c>
      <c r="K852">
        <v>2</v>
      </c>
    </row>
    <row r="853" spans="1:11" x14ac:dyDescent="0.15">
      <c r="A853" t="s">
        <v>15</v>
      </c>
      <c r="B853" t="s">
        <v>1269</v>
      </c>
      <c r="C853" t="s">
        <v>1893</v>
      </c>
      <c r="D853" t="s">
        <v>1908</v>
      </c>
      <c r="E853" t="s">
        <v>1909</v>
      </c>
      <c r="F853" t="s">
        <v>21</v>
      </c>
      <c r="G853" t="s">
        <v>21</v>
      </c>
      <c r="H853" t="s">
        <v>22</v>
      </c>
      <c r="I853">
        <v>5</v>
      </c>
      <c r="J853">
        <v>7</v>
      </c>
      <c r="K853">
        <v>2</v>
      </c>
    </row>
    <row r="854" spans="1:11" x14ac:dyDescent="0.15">
      <c r="A854" t="s">
        <v>15</v>
      </c>
      <c r="B854" t="s">
        <v>1269</v>
      </c>
      <c r="C854" t="s">
        <v>1893</v>
      </c>
      <c r="D854" t="s">
        <v>1910</v>
      </c>
      <c r="E854" t="s">
        <v>1911</v>
      </c>
      <c r="F854" t="s">
        <v>21</v>
      </c>
      <c r="G854" t="s">
        <v>21</v>
      </c>
      <c r="H854" t="s">
        <v>22</v>
      </c>
      <c r="I854">
        <v>6</v>
      </c>
      <c r="J854">
        <v>8</v>
      </c>
      <c r="K854">
        <v>2</v>
      </c>
    </row>
    <row r="855" spans="1:11" x14ac:dyDescent="0.15">
      <c r="A855" t="s">
        <v>15</v>
      </c>
      <c r="B855" t="s">
        <v>1269</v>
      </c>
      <c r="C855" t="s">
        <v>1893</v>
      </c>
      <c r="D855" t="s">
        <v>1912</v>
      </c>
      <c r="E855" t="s">
        <v>1913</v>
      </c>
      <c r="F855" t="s">
        <v>21</v>
      </c>
      <c r="G855" t="s">
        <v>21</v>
      </c>
      <c r="H855" t="s">
        <v>22</v>
      </c>
      <c r="I855">
        <v>4</v>
      </c>
      <c r="J855">
        <v>6</v>
      </c>
      <c r="K855">
        <v>2</v>
      </c>
    </row>
    <row r="856" spans="1:11" x14ac:dyDescent="0.15">
      <c r="A856" t="s">
        <v>15</v>
      </c>
      <c r="B856" t="s">
        <v>1269</v>
      </c>
      <c r="C856" t="s">
        <v>1893</v>
      </c>
      <c r="D856" t="s">
        <v>1914</v>
      </c>
      <c r="E856" t="s">
        <v>1915</v>
      </c>
      <c r="F856" t="s">
        <v>21</v>
      </c>
      <c r="G856" t="s">
        <v>21</v>
      </c>
      <c r="H856" t="s">
        <v>22</v>
      </c>
      <c r="I856">
        <v>2</v>
      </c>
      <c r="J856">
        <v>4</v>
      </c>
      <c r="K856">
        <v>2</v>
      </c>
    </row>
    <row r="857" spans="1:11" x14ac:dyDescent="0.15">
      <c r="A857" t="s">
        <v>15</v>
      </c>
      <c r="B857" t="s">
        <v>1269</v>
      </c>
      <c r="C857" t="s">
        <v>1893</v>
      </c>
      <c r="D857" t="s">
        <v>1916</v>
      </c>
      <c r="E857" t="s">
        <v>1917</v>
      </c>
      <c r="F857" t="s">
        <v>21</v>
      </c>
      <c r="G857" t="s">
        <v>21</v>
      </c>
      <c r="H857" t="s">
        <v>22</v>
      </c>
      <c r="I857">
        <v>5</v>
      </c>
      <c r="J857">
        <v>7</v>
      </c>
      <c r="K857">
        <v>2</v>
      </c>
    </row>
    <row r="858" spans="1:11" x14ac:dyDescent="0.15">
      <c r="A858" t="s">
        <v>15</v>
      </c>
      <c r="B858" t="s">
        <v>1269</v>
      </c>
      <c r="C858" t="s">
        <v>1893</v>
      </c>
      <c r="D858" t="s">
        <v>1918</v>
      </c>
      <c r="E858" t="s">
        <v>1919</v>
      </c>
      <c r="F858" t="s">
        <v>21</v>
      </c>
      <c r="G858" t="s">
        <v>21</v>
      </c>
      <c r="H858" t="s">
        <v>22</v>
      </c>
      <c r="I858">
        <v>4</v>
      </c>
      <c r="J858">
        <v>6</v>
      </c>
      <c r="K858">
        <v>2</v>
      </c>
    </row>
    <row r="859" spans="1:11" x14ac:dyDescent="0.15">
      <c r="A859" t="s">
        <v>15</v>
      </c>
      <c r="B859" t="s">
        <v>1269</v>
      </c>
      <c r="C859" t="s">
        <v>1893</v>
      </c>
      <c r="D859" t="s">
        <v>1920</v>
      </c>
      <c r="E859" t="s">
        <v>1921</v>
      </c>
      <c r="F859" t="s">
        <v>21</v>
      </c>
      <c r="G859" t="s">
        <v>21</v>
      </c>
      <c r="H859" t="s">
        <v>22</v>
      </c>
      <c r="I859">
        <v>5</v>
      </c>
      <c r="J859">
        <v>7</v>
      </c>
      <c r="K859">
        <v>2</v>
      </c>
    </row>
    <row r="860" spans="1:11" x14ac:dyDescent="0.15">
      <c r="A860" t="s">
        <v>15</v>
      </c>
      <c r="B860" t="s">
        <v>1269</v>
      </c>
      <c r="C860" t="s">
        <v>1893</v>
      </c>
      <c r="D860" t="s">
        <v>1922</v>
      </c>
      <c r="E860" t="s">
        <v>1923</v>
      </c>
      <c r="F860" t="s">
        <v>21</v>
      </c>
      <c r="G860" t="s">
        <v>21</v>
      </c>
      <c r="H860" t="s">
        <v>22</v>
      </c>
      <c r="I860">
        <v>5</v>
      </c>
      <c r="J860">
        <v>7</v>
      </c>
      <c r="K860">
        <v>2</v>
      </c>
    </row>
    <row r="861" spans="1:11" x14ac:dyDescent="0.15">
      <c r="A861" t="s">
        <v>15</v>
      </c>
      <c r="B861" t="s">
        <v>1269</v>
      </c>
      <c r="C861" t="s">
        <v>1893</v>
      </c>
      <c r="D861" t="s">
        <v>1924</v>
      </c>
      <c r="E861" t="s">
        <v>1925</v>
      </c>
      <c r="F861" t="s">
        <v>21</v>
      </c>
      <c r="G861" t="s">
        <v>21</v>
      </c>
      <c r="H861" t="s">
        <v>22</v>
      </c>
      <c r="I861">
        <v>6</v>
      </c>
      <c r="J861">
        <v>8</v>
      </c>
      <c r="K861">
        <v>2</v>
      </c>
    </row>
    <row r="862" spans="1:11" x14ac:dyDescent="0.15">
      <c r="A862" t="s">
        <v>15</v>
      </c>
      <c r="B862" t="s">
        <v>1269</v>
      </c>
      <c r="C862" t="s">
        <v>1893</v>
      </c>
      <c r="D862" t="s">
        <v>1926</v>
      </c>
      <c r="E862" t="s">
        <v>1927</v>
      </c>
      <c r="F862" t="s">
        <v>21</v>
      </c>
      <c r="G862" t="s">
        <v>21</v>
      </c>
      <c r="H862" t="s">
        <v>22</v>
      </c>
      <c r="I862">
        <v>6</v>
      </c>
      <c r="J862">
        <v>8</v>
      </c>
      <c r="K862">
        <v>2</v>
      </c>
    </row>
    <row r="863" spans="1:11" x14ac:dyDescent="0.15">
      <c r="A863" t="s">
        <v>15</v>
      </c>
      <c r="B863" t="s">
        <v>1269</v>
      </c>
      <c r="C863" t="s">
        <v>1893</v>
      </c>
      <c r="D863" t="s">
        <v>1928</v>
      </c>
      <c r="E863" t="s">
        <v>1929</v>
      </c>
      <c r="F863" t="s">
        <v>21</v>
      </c>
      <c r="G863" t="s">
        <v>21</v>
      </c>
      <c r="H863" t="s">
        <v>22</v>
      </c>
      <c r="I863">
        <v>6</v>
      </c>
      <c r="J863">
        <v>8</v>
      </c>
      <c r="K863">
        <v>2</v>
      </c>
    </row>
    <row r="864" spans="1:11" x14ac:dyDescent="0.15">
      <c r="A864" t="s">
        <v>15</v>
      </c>
      <c r="B864" t="s">
        <v>1269</v>
      </c>
      <c r="C864" t="s">
        <v>1893</v>
      </c>
      <c r="D864" t="s">
        <v>1930</v>
      </c>
      <c r="E864" t="s">
        <v>1931</v>
      </c>
      <c r="F864" t="s">
        <v>21</v>
      </c>
      <c r="G864" t="s">
        <v>21</v>
      </c>
      <c r="H864" t="s">
        <v>22</v>
      </c>
      <c r="I864">
        <v>6</v>
      </c>
      <c r="J864">
        <v>8</v>
      </c>
      <c r="K864">
        <v>2</v>
      </c>
    </row>
    <row r="865" spans="1:11" x14ac:dyDescent="0.15">
      <c r="A865" t="s">
        <v>15</v>
      </c>
      <c r="B865" t="s">
        <v>1269</v>
      </c>
      <c r="C865" t="s">
        <v>1893</v>
      </c>
      <c r="D865" t="s">
        <v>1932</v>
      </c>
      <c r="E865" t="s">
        <v>1933</v>
      </c>
      <c r="F865" t="s">
        <v>21</v>
      </c>
      <c r="G865" t="s">
        <v>21</v>
      </c>
      <c r="H865" t="s">
        <v>22</v>
      </c>
      <c r="I865">
        <v>0</v>
      </c>
      <c r="J865">
        <v>2</v>
      </c>
      <c r="K865">
        <v>2</v>
      </c>
    </row>
    <row r="866" spans="1:11" x14ac:dyDescent="0.15">
      <c r="A866" t="s">
        <v>15</v>
      </c>
      <c r="B866" t="s">
        <v>1269</v>
      </c>
      <c r="C866" t="s">
        <v>1893</v>
      </c>
      <c r="D866" t="s">
        <v>1934</v>
      </c>
      <c r="E866" t="s">
        <v>1935</v>
      </c>
      <c r="F866" t="s">
        <v>21</v>
      </c>
      <c r="G866" t="s">
        <v>21</v>
      </c>
      <c r="H866" t="s">
        <v>22</v>
      </c>
      <c r="I866">
        <v>1</v>
      </c>
      <c r="J866">
        <v>3</v>
      </c>
      <c r="K866">
        <v>2</v>
      </c>
    </row>
    <row r="867" spans="1:11" x14ac:dyDescent="0.15">
      <c r="A867" t="s">
        <v>15</v>
      </c>
      <c r="B867" t="s">
        <v>1269</v>
      </c>
      <c r="C867" t="s">
        <v>1893</v>
      </c>
      <c r="D867" t="s">
        <v>1936</v>
      </c>
      <c r="E867" t="s">
        <v>1937</v>
      </c>
      <c r="F867" t="s">
        <v>21</v>
      </c>
      <c r="G867" t="s">
        <v>21</v>
      </c>
      <c r="H867" t="s">
        <v>22</v>
      </c>
      <c r="I867">
        <v>6</v>
      </c>
      <c r="J867">
        <v>8</v>
      </c>
      <c r="K867">
        <v>2</v>
      </c>
    </row>
    <row r="868" spans="1:11" x14ac:dyDescent="0.15">
      <c r="A868" t="s">
        <v>15</v>
      </c>
      <c r="B868" t="s">
        <v>49</v>
      </c>
      <c r="C868" t="s">
        <v>821</v>
      </c>
      <c r="D868" t="s">
        <v>1938</v>
      </c>
      <c r="E868" t="s">
        <v>1939</v>
      </c>
      <c r="F868" t="s">
        <v>21</v>
      </c>
      <c r="G868" t="s">
        <v>21</v>
      </c>
      <c r="H868" t="s">
        <v>22</v>
      </c>
      <c r="I868">
        <v>15</v>
      </c>
      <c r="J868">
        <v>15</v>
      </c>
      <c r="K868">
        <v>0</v>
      </c>
    </row>
    <row r="869" spans="1:11" x14ac:dyDescent="0.15">
      <c r="A869" t="s">
        <v>15</v>
      </c>
      <c r="B869" t="s">
        <v>49</v>
      </c>
      <c r="C869" t="s">
        <v>944</v>
      </c>
      <c r="D869" t="s">
        <v>1940</v>
      </c>
      <c r="E869" t="s">
        <v>1941</v>
      </c>
      <c r="F869" t="s">
        <v>21</v>
      </c>
      <c r="G869" t="s">
        <v>21</v>
      </c>
      <c r="H869" t="s">
        <v>22</v>
      </c>
      <c r="I869">
        <v>0</v>
      </c>
      <c r="J869">
        <v>1</v>
      </c>
      <c r="K869">
        <v>1</v>
      </c>
    </row>
    <row r="870" spans="1:11" x14ac:dyDescent="0.15">
      <c r="A870" t="s">
        <v>184</v>
      </c>
      <c r="B870" t="s">
        <v>515</v>
      </c>
      <c r="C870" t="s">
        <v>830</v>
      </c>
      <c r="D870" t="s">
        <v>1942</v>
      </c>
      <c r="E870" t="s">
        <v>1943</v>
      </c>
      <c r="F870" t="s">
        <v>21</v>
      </c>
      <c r="G870" t="s">
        <v>21</v>
      </c>
      <c r="H870" t="s">
        <v>22</v>
      </c>
      <c r="I870">
        <v>5</v>
      </c>
      <c r="J870">
        <v>5</v>
      </c>
      <c r="K870">
        <v>0</v>
      </c>
    </row>
    <row r="871" spans="1:11" x14ac:dyDescent="0.15">
      <c r="A871" t="s">
        <v>184</v>
      </c>
      <c r="B871" t="s">
        <v>515</v>
      </c>
      <c r="C871" t="s">
        <v>830</v>
      </c>
      <c r="D871" t="s">
        <v>1944</v>
      </c>
      <c r="E871" t="s">
        <v>1945</v>
      </c>
      <c r="F871" t="s">
        <v>21</v>
      </c>
      <c r="G871" t="s">
        <v>21</v>
      </c>
      <c r="H871" t="s">
        <v>22</v>
      </c>
      <c r="I871">
        <v>5</v>
      </c>
      <c r="J871">
        <v>5</v>
      </c>
      <c r="K871">
        <v>0</v>
      </c>
    </row>
    <row r="872" spans="1:11" x14ac:dyDescent="0.15">
      <c r="A872" t="s">
        <v>184</v>
      </c>
      <c r="B872" t="s">
        <v>515</v>
      </c>
      <c r="C872" t="s">
        <v>830</v>
      </c>
      <c r="D872" t="s">
        <v>1946</v>
      </c>
      <c r="E872" t="s">
        <v>1947</v>
      </c>
      <c r="F872" t="s">
        <v>21</v>
      </c>
      <c r="G872" t="s">
        <v>21</v>
      </c>
      <c r="H872" t="s">
        <v>22</v>
      </c>
      <c r="I872">
        <v>5</v>
      </c>
      <c r="J872">
        <v>5</v>
      </c>
      <c r="K872">
        <v>0</v>
      </c>
    </row>
    <row r="873" spans="1:11" x14ac:dyDescent="0.15">
      <c r="A873" t="s">
        <v>184</v>
      </c>
      <c r="B873" t="s">
        <v>515</v>
      </c>
      <c r="C873" t="s">
        <v>863</v>
      </c>
      <c r="D873" t="s">
        <v>1948</v>
      </c>
      <c r="E873" t="s">
        <v>1949</v>
      </c>
      <c r="F873" t="s">
        <v>21</v>
      </c>
      <c r="G873" t="s">
        <v>21</v>
      </c>
      <c r="H873" t="s">
        <v>22</v>
      </c>
      <c r="I873">
        <v>3</v>
      </c>
      <c r="J873">
        <v>3</v>
      </c>
      <c r="K873">
        <v>0</v>
      </c>
    </row>
    <row r="874" spans="1:11" x14ac:dyDescent="0.15">
      <c r="A874" t="s">
        <v>15</v>
      </c>
      <c r="B874" t="s">
        <v>566</v>
      </c>
      <c r="C874" t="s">
        <v>1035</v>
      </c>
      <c r="D874" t="s">
        <v>1950</v>
      </c>
      <c r="E874" t="s">
        <v>1951</v>
      </c>
      <c r="F874" t="s">
        <v>21</v>
      </c>
      <c r="G874" t="s">
        <v>21</v>
      </c>
      <c r="H874" t="s">
        <v>22</v>
      </c>
      <c r="I874">
        <v>1</v>
      </c>
      <c r="J874">
        <v>1</v>
      </c>
      <c r="K874">
        <v>0</v>
      </c>
    </row>
    <row r="875" spans="1:11" x14ac:dyDescent="0.15">
      <c r="A875" t="s">
        <v>184</v>
      </c>
      <c r="B875" t="s">
        <v>623</v>
      </c>
      <c r="C875" t="s">
        <v>949</v>
      </c>
      <c r="D875" t="s">
        <v>1952</v>
      </c>
      <c r="E875" t="s">
        <v>1953</v>
      </c>
      <c r="F875" t="s">
        <v>21</v>
      </c>
      <c r="G875" t="s">
        <v>21</v>
      </c>
      <c r="H875" t="s">
        <v>22</v>
      </c>
      <c r="I875">
        <v>17</v>
      </c>
      <c r="J875">
        <v>17</v>
      </c>
      <c r="K875">
        <v>0</v>
      </c>
    </row>
    <row r="876" spans="1:11" x14ac:dyDescent="0.15">
      <c r="A876" t="s">
        <v>15</v>
      </c>
      <c r="B876" t="s">
        <v>29</v>
      </c>
      <c r="C876" t="s">
        <v>104</v>
      </c>
      <c r="D876" t="s">
        <v>1954</v>
      </c>
      <c r="E876" t="s">
        <v>1955</v>
      </c>
      <c r="F876" t="s">
        <v>21</v>
      </c>
      <c r="G876" t="s">
        <v>21</v>
      </c>
      <c r="H876" t="s">
        <v>22</v>
      </c>
      <c r="I876">
        <v>25</v>
      </c>
      <c r="J876">
        <v>39</v>
      </c>
      <c r="K876">
        <v>14</v>
      </c>
    </row>
    <row r="877" spans="1:11" x14ac:dyDescent="0.15">
      <c r="A877" t="s">
        <v>15</v>
      </c>
      <c r="B877" t="s">
        <v>29</v>
      </c>
      <c r="C877" t="s">
        <v>104</v>
      </c>
      <c r="D877" t="s">
        <v>1956</v>
      </c>
      <c r="E877" t="s">
        <v>1955</v>
      </c>
      <c r="F877" t="s">
        <v>21</v>
      </c>
      <c r="G877" t="s">
        <v>21</v>
      </c>
      <c r="H877" t="s">
        <v>22</v>
      </c>
      <c r="I877">
        <v>2</v>
      </c>
      <c r="J877">
        <v>18</v>
      </c>
      <c r="K877">
        <v>16</v>
      </c>
    </row>
    <row r="878" spans="1:11" x14ac:dyDescent="0.15">
      <c r="A878" t="s">
        <v>184</v>
      </c>
      <c r="B878" t="s">
        <v>515</v>
      </c>
      <c r="C878" t="s">
        <v>1035</v>
      </c>
      <c r="D878" t="s">
        <v>1957</v>
      </c>
      <c r="E878" t="s">
        <v>1958</v>
      </c>
      <c r="F878" t="s">
        <v>21</v>
      </c>
      <c r="G878" t="s">
        <v>21</v>
      </c>
      <c r="H878" t="s">
        <v>22</v>
      </c>
      <c r="I878">
        <v>3</v>
      </c>
      <c r="J878">
        <v>3</v>
      </c>
      <c r="K878">
        <v>0</v>
      </c>
    </row>
    <row r="879" spans="1:11" x14ac:dyDescent="0.15">
      <c r="A879" t="s">
        <v>184</v>
      </c>
      <c r="B879" t="s">
        <v>432</v>
      </c>
      <c r="C879" t="s">
        <v>949</v>
      </c>
      <c r="D879" t="s">
        <v>1959</v>
      </c>
      <c r="E879" t="s">
        <v>1960</v>
      </c>
      <c r="F879" t="s">
        <v>21</v>
      </c>
      <c r="G879" t="s">
        <v>21</v>
      </c>
      <c r="H879" t="s">
        <v>22</v>
      </c>
      <c r="I879">
        <v>0</v>
      </c>
      <c r="J879">
        <v>1</v>
      </c>
      <c r="K879">
        <v>1</v>
      </c>
    </row>
    <row r="880" spans="1:11" x14ac:dyDescent="0.15">
      <c r="A880" t="s">
        <v>184</v>
      </c>
      <c r="B880" t="s">
        <v>432</v>
      </c>
      <c r="C880" t="s">
        <v>949</v>
      </c>
      <c r="D880" t="s">
        <v>1961</v>
      </c>
      <c r="E880" t="s">
        <v>1962</v>
      </c>
      <c r="F880" t="s">
        <v>21</v>
      </c>
      <c r="G880" t="s">
        <v>21</v>
      </c>
      <c r="H880" t="s">
        <v>22</v>
      </c>
      <c r="I880">
        <v>1</v>
      </c>
      <c r="J880">
        <v>1</v>
      </c>
      <c r="K880">
        <v>0</v>
      </c>
    </row>
    <row r="881" spans="1:11" x14ac:dyDescent="0.15">
      <c r="A881" t="s">
        <v>184</v>
      </c>
      <c r="B881" t="s">
        <v>763</v>
      </c>
      <c r="C881" t="s">
        <v>195</v>
      </c>
      <c r="D881" t="s">
        <v>1963</v>
      </c>
      <c r="E881" t="s">
        <v>1964</v>
      </c>
      <c r="F881" t="s">
        <v>21</v>
      </c>
      <c r="G881" t="s">
        <v>21</v>
      </c>
      <c r="H881" t="s">
        <v>22</v>
      </c>
      <c r="I881">
        <v>4</v>
      </c>
      <c r="J881">
        <v>4</v>
      </c>
      <c r="K881">
        <v>0</v>
      </c>
    </row>
    <row r="882" spans="1:11" x14ac:dyDescent="0.15">
      <c r="A882" t="s">
        <v>184</v>
      </c>
      <c r="B882" t="s">
        <v>515</v>
      </c>
      <c r="C882" t="s">
        <v>145</v>
      </c>
      <c r="D882" t="s">
        <v>1965</v>
      </c>
      <c r="E882" t="s">
        <v>1966</v>
      </c>
      <c r="F882" t="s">
        <v>21</v>
      </c>
      <c r="G882" t="s">
        <v>21</v>
      </c>
      <c r="H882" t="s">
        <v>277</v>
      </c>
      <c r="I882">
        <v>1</v>
      </c>
      <c r="J882">
        <v>1</v>
      </c>
      <c r="K882">
        <v>0</v>
      </c>
    </row>
    <row r="883" spans="1:11" x14ac:dyDescent="0.15">
      <c r="A883" t="s">
        <v>184</v>
      </c>
      <c r="B883" t="s">
        <v>515</v>
      </c>
      <c r="C883" t="s">
        <v>145</v>
      </c>
      <c r="D883" t="s">
        <v>1967</v>
      </c>
      <c r="E883" t="s">
        <v>1968</v>
      </c>
      <c r="F883" t="s">
        <v>21</v>
      </c>
      <c r="G883" t="s">
        <v>21</v>
      </c>
      <c r="H883" t="s">
        <v>277</v>
      </c>
      <c r="I883">
        <v>1</v>
      </c>
      <c r="J883">
        <v>1</v>
      </c>
      <c r="K883">
        <v>0</v>
      </c>
    </row>
    <row r="884" spans="1:11" x14ac:dyDescent="0.15">
      <c r="A884" t="s">
        <v>184</v>
      </c>
      <c r="B884" t="s">
        <v>185</v>
      </c>
      <c r="C884" t="s">
        <v>186</v>
      </c>
      <c r="D884" t="s">
        <v>1969</v>
      </c>
      <c r="E884" t="s">
        <v>1970</v>
      </c>
      <c r="F884" t="s">
        <v>21</v>
      </c>
      <c r="G884" t="s">
        <v>21</v>
      </c>
      <c r="H884" t="s">
        <v>22</v>
      </c>
      <c r="I884">
        <v>3</v>
      </c>
      <c r="J884">
        <v>3</v>
      </c>
      <c r="K884">
        <v>0</v>
      </c>
    </row>
    <row r="885" spans="1:11" x14ac:dyDescent="0.15">
      <c r="A885" t="s">
        <v>138</v>
      </c>
      <c r="B885" t="s">
        <v>381</v>
      </c>
      <c r="C885" t="s">
        <v>1971</v>
      </c>
      <c r="D885" t="s">
        <v>1972</v>
      </c>
      <c r="E885" t="s">
        <v>1973</v>
      </c>
      <c r="F885" t="s">
        <v>21</v>
      </c>
      <c r="G885" t="s">
        <v>21</v>
      </c>
      <c r="H885" t="s">
        <v>22</v>
      </c>
      <c r="I885">
        <v>2</v>
      </c>
      <c r="J885">
        <v>2</v>
      </c>
      <c r="K885">
        <v>0</v>
      </c>
    </row>
    <row r="886" spans="1:11" x14ac:dyDescent="0.15">
      <c r="A886" t="s">
        <v>15</v>
      </c>
      <c r="B886" t="s">
        <v>566</v>
      </c>
      <c r="C886" t="s">
        <v>1059</v>
      </c>
      <c r="D886" t="s">
        <v>1974</v>
      </c>
      <c r="E886" t="s">
        <v>1975</v>
      </c>
      <c r="F886" t="s">
        <v>21</v>
      </c>
      <c r="G886" t="s">
        <v>21</v>
      </c>
      <c r="H886" t="s">
        <v>22</v>
      </c>
      <c r="I886">
        <v>0</v>
      </c>
      <c r="J886">
        <v>5</v>
      </c>
      <c r="K886">
        <v>5</v>
      </c>
    </row>
    <row r="887" spans="1:11" x14ac:dyDescent="0.15">
      <c r="A887" t="s">
        <v>184</v>
      </c>
      <c r="B887" t="s">
        <v>185</v>
      </c>
      <c r="C887" t="s">
        <v>1059</v>
      </c>
      <c r="D887" t="s">
        <v>1976</v>
      </c>
      <c r="E887" t="s">
        <v>1977</v>
      </c>
      <c r="F887" t="s">
        <v>21</v>
      </c>
      <c r="G887" t="s">
        <v>21</v>
      </c>
      <c r="H887" t="s">
        <v>22</v>
      </c>
      <c r="I887">
        <v>8</v>
      </c>
      <c r="J887">
        <v>8</v>
      </c>
      <c r="K887">
        <v>0</v>
      </c>
    </row>
    <row r="888" spans="1:11" x14ac:dyDescent="0.15">
      <c r="A888" t="s">
        <v>15</v>
      </c>
      <c r="B888" t="s">
        <v>1185</v>
      </c>
      <c r="C888" t="s">
        <v>916</v>
      </c>
      <c r="D888" t="s">
        <v>1978</v>
      </c>
      <c r="E888" t="s">
        <v>1979</v>
      </c>
      <c r="F888" t="s">
        <v>21</v>
      </c>
      <c r="G888" t="s">
        <v>21</v>
      </c>
      <c r="H888" t="s">
        <v>22</v>
      </c>
      <c r="I888">
        <v>92</v>
      </c>
      <c r="J888">
        <v>92</v>
      </c>
      <c r="K888">
        <v>0</v>
      </c>
    </row>
    <row r="889" spans="1:11" x14ac:dyDescent="0.15">
      <c r="A889" t="s">
        <v>15</v>
      </c>
      <c r="B889" t="s">
        <v>75</v>
      </c>
      <c r="C889" t="s">
        <v>1407</v>
      </c>
      <c r="D889" t="s">
        <v>1980</v>
      </c>
      <c r="E889" t="s">
        <v>1981</v>
      </c>
      <c r="F889" t="s">
        <v>21</v>
      </c>
      <c r="G889" t="s">
        <v>21</v>
      </c>
      <c r="H889" t="s">
        <v>22</v>
      </c>
      <c r="I889">
        <v>39</v>
      </c>
      <c r="J889">
        <v>49</v>
      </c>
      <c r="K889">
        <v>10</v>
      </c>
    </row>
    <row r="890" spans="1:11" x14ac:dyDescent="0.15">
      <c r="A890" t="s">
        <v>15</v>
      </c>
      <c r="B890" t="s">
        <v>114</v>
      </c>
      <c r="C890" t="s">
        <v>1862</v>
      </c>
      <c r="D890" t="s">
        <v>1982</v>
      </c>
      <c r="E890" t="s">
        <v>1983</v>
      </c>
      <c r="F890" t="s">
        <v>21</v>
      </c>
      <c r="G890" t="s">
        <v>21</v>
      </c>
      <c r="H890" t="s">
        <v>22</v>
      </c>
      <c r="I890">
        <v>1</v>
      </c>
      <c r="J890">
        <v>1</v>
      </c>
      <c r="K890">
        <v>0</v>
      </c>
    </row>
    <row r="891" spans="1:11" x14ac:dyDescent="0.15">
      <c r="A891" t="s">
        <v>15</v>
      </c>
      <c r="B891" t="s">
        <v>49</v>
      </c>
      <c r="C891" t="s">
        <v>944</v>
      </c>
      <c r="D891" t="s">
        <v>1984</v>
      </c>
      <c r="E891" t="s">
        <v>1985</v>
      </c>
      <c r="F891" t="s">
        <v>21</v>
      </c>
      <c r="G891" t="s">
        <v>21</v>
      </c>
      <c r="H891" t="s">
        <v>22</v>
      </c>
      <c r="I891">
        <v>0</v>
      </c>
      <c r="J891">
        <v>1</v>
      </c>
      <c r="K891">
        <v>1</v>
      </c>
    </row>
    <row r="893" spans="1:11" x14ac:dyDescent="0.15">
      <c r="A893" t="s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Stock</vt:lpstr>
      <vt:lpstr>Macro1</vt:lpstr>
      <vt:lpstr>Auto_Open</vt:lpstr>
      <vt:lpstr>Macro1</vt:lpstr>
      <vt:lpstr>Macro10</vt:lpstr>
      <vt:lpstr>Macro11</vt:lpstr>
      <vt:lpstr>Macro12</vt:lpstr>
      <vt:lpstr>Macro13</vt:lpstr>
      <vt:lpstr>Macro14</vt:lpstr>
      <vt:lpstr>Macro2</vt:lpstr>
      <vt:lpstr>Macro3</vt:lpstr>
      <vt:lpstr>Macro4</vt:lpstr>
      <vt:lpstr>Macro5</vt:lpstr>
      <vt:lpstr>Macro6</vt:lpstr>
      <vt:lpstr>Macro7</vt:lpstr>
      <vt:lpstr>Macro8</vt:lpstr>
      <vt:lpstr>Macro9</vt:lpstr>
      <vt:lpstr>Recover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يوسف مصطفى</dc:creator>
  <cp:lastModifiedBy>X</cp:lastModifiedBy>
  <dcterms:created xsi:type="dcterms:W3CDTF">2026-10-07T18:44:35Z</dcterms:created>
  <dcterms:modified xsi:type="dcterms:W3CDTF">2026-10-07T18:44:35Z</dcterms:modified>
</cp:coreProperties>
</file>
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Windows\ServiceProfiles\NetworkService\AppData\Local\Packages\oice_16_974fa576_32c1d314_31c7\AC\Temp\"/>
    </mc:Choice>
  </mc:AlternateContent>
  <xr:revisionPtr revIDLastSave="0" documentId="8_{87CCB131-7AAF-314A-B748-790DBFCE8A4F}" xr6:coauthVersionLast="47" xr6:coauthVersionMax="47" xr10:uidLastSave="{00000000-0000-0000-0000-000000000000}"/>
  <bookViews>
    <workbookView xWindow="-60" yWindow="-60" windowWidth="15480" windowHeight="11640" xr2:uid="{A31A0A50-E3FE-413D-BE7C-A7BC57BDEE67}"/>
  </bookViews>
  <sheets>
    <sheet name="Stock" sheetId="1" r:id="rId1"/>
    <sheet name="Macro1" sheetId="2" r:id="rId2"/>
  </sheets>
  <definedNames>
    <definedName name="_xlnm.Auto_Open">Macro1!$B$1</definedName>
    <definedName name="Macro1">Macro1!$A$1</definedName>
    <definedName name="Macro10">Macro1!$A$8</definedName>
    <definedName name="Macro11">Macro1!$A$15</definedName>
    <definedName name="Macro12">Macro1!$A$22</definedName>
    <definedName name="Macro13">Macro1!$A$29</definedName>
    <definedName name="Macro14">Macro1!$A$36</definedName>
    <definedName name="Macro2">Macro1!$A$68</definedName>
    <definedName name="Macro3">Macro1!$A$75</definedName>
    <definedName name="Macro4">Macro1!$A$82</definedName>
    <definedName name="Macro5">Macro1!$A$89</definedName>
    <definedName name="Macro6">Macro1!$A$96</definedName>
    <definedName name="Macro7">Macro1!$A$103</definedName>
    <definedName name="Macro8">Macro1!$A$110</definedName>
    <definedName name="Macro9">Macro1!$A$117</definedName>
    <definedName name="Recover">Macro1!$A$124</definedName>
    <definedName name="TableName">"Dummy"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<sst xmlns="http://schemas.openxmlformats.org/spreadsheetml/2006/main" count="864" uniqueCount="311">
  <si>
    <t>Stock</t>
  </si>
  <si>
    <t>Last Run Date:07-Oct-26 07:01 PM</t>
  </si>
  <si>
    <t>Store ID:0004</t>
  </si>
  <si>
    <t>Store Name:Samsung Mokattam</t>
  </si>
  <si>
    <t>Department Name</t>
  </si>
  <si>
    <t>Category Name</t>
  </si>
  <si>
    <t>Brand</t>
  </si>
  <si>
    <t>Item Code</t>
  </si>
  <si>
    <t>Item Description</t>
  </si>
  <si>
    <t>Model</t>
  </si>
  <si>
    <t>Color</t>
  </si>
  <si>
    <t>Loc</t>
  </si>
  <si>
    <t>QTY ATP</t>
  </si>
  <si>
    <t>QTY On-Hand</t>
  </si>
  <si>
    <t>QTY Reserved</t>
  </si>
  <si>
    <t>Small Home Appliance</t>
  </si>
  <si>
    <t>Vacume Cleaner</t>
  </si>
  <si>
    <t>SAMSUNG</t>
  </si>
  <si>
    <t>VCC4540S36/EGT</t>
  </si>
  <si>
    <t>Vacuum Cleaner - Bag less- 180</t>
  </si>
  <si>
    <t>NULL</t>
  </si>
  <si>
    <t>New</t>
  </si>
  <si>
    <t>Electronics</t>
  </si>
  <si>
    <t>Wall Mount</t>
  </si>
  <si>
    <t>Jumbo</t>
  </si>
  <si>
    <t>FP70</t>
  </si>
  <si>
    <t>Falcon  W.mount size 42:70-Fp70 Fixed</t>
  </si>
  <si>
    <t>Handsets</t>
  </si>
  <si>
    <t>New Handsets</t>
  </si>
  <si>
    <t>A37 Violet-12G</t>
  </si>
  <si>
    <t>Samsung Galaxy A37 5G (12+256)-Violet</t>
  </si>
  <si>
    <t>A37 5G(12-256G)</t>
  </si>
  <si>
    <t>violet</t>
  </si>
  <si>
    <t>Home Appliance</t>
  </si>
  <si>
    <t>Washing Machine</t>
  </si>
  <si>
    <t>WW80CGC0EDAB/AS</t>
  </si>
  <si>
    <t>SamsungWashing Machine  front loading 8k Inverter Steam 1400</t>
  </si>
  <si>
    <t>Display</t>
  </si>
  <si>
    <t>WW70T4020CX1AS</t>
  </si>
  <si>
    <t>Samsung front loading 7k, 1200 RPM, INOX, LED display, Steam</t>
  </si>
  <si>
    <t>Mobile accessories</t>
  </si>
  <si>
    <t>Cables</t>
  </si>
  <si>
    <t>Power lock</t>
  </si>
  <si>
    <t>6772505085397</t>
  </si>
  <si>
    <t>HDMI top Link tb300 3m 4K</t>
  </si>
  <si>
    <t>Chargers</t>
  </si>
  <si>
    <t>8806090986185</t>
  </si>
  <si>
    <t>Samsung Power Adapter Trio 65W PD</t>
  </si>
  <si>
    <t>8806095510064</t>
  </si>
  <si>
    <t>Samsung Power Adapter 45W PD With USB-C Cable</t>
  </si>
  <si>
    <t>Holder</t>
  </si>
  <si>
    <t>Installation Voucher</t>
  </si>
  <si>
    <t>Free Installation Voucher</t>
  </si>
  <si>
    <t>Watch</t>
  </si>
  <si>
    <t>Itel</t>
  </si>
  <si>
    <t>4894947016813</t>
  </si>
  <si>
    <t>Smart watch Itel ISW-011 black</t>
  </si>
  <si>
    <t>ISW-11</t>
  </si>
  <si>
    <t>Black</t>
  </si>
  <si>
    <t>8806097416463</t>
  </si>
  <si>
    <t>Samsung Galaxy Watch 8 40mm - Dark Grey</t>
  </si>
  <si>
    <t>Food Processor</t>
  </si>
  <si>
    <t>Braun</t>
  </si>
  <si>
    <t>FX 3030</t>
  </si>
  <si>
    <t>Braun Food processor 600 Watt - 2 liter pot - mill - mixer</t>
  </si>
  <si>
    <t>Frame</t>
  </si>
  <si>
    <t>VG-SCFT55BE/RU</t>
  </si>
  <si>
    <t>TV frame accessories 55Beige</t>
  </si>
  <si>
    <t>Monitors</t>
  </si>
  <si>
    <t>8806095344720</t>
  </si>
  <si>
    <t>Samsung 27  Odyssey G55C QHD 2K Curved Gaming Monitor, HRDR</t>
  </si>
  <si>
    <t>LS27CG552EMXEG</t>
  </si>
  <si>
    <t>LS27F320GAUXEG</t>
  </si>
  <si>
    <t>Samsung Monitor 27 FHD 120Hz-LS27F320GAUXEG</t>
  </si>
  <si>
    <t>TVs</t>
  </si>
  <si>
    <t>UA65M70H</t>
  </si>
  <si>
    <t>SAMSUNG LED TV 65 INCH M70H, UHD. Flat, smart, Wi-Fi, built</t>
  </si>
  <si>
    <t>UA65U8000H</t>
  </si>
  <si>
    <t>SAMSUNG LED TV 65 INCH U8000H, UHD. Flat, smart, Wi-Fi, buil</t>
  </si>
  <si>
    <t>UA55DU8000</t>
  </si>
  <si>
    <t>SAMSUNG LED TV 55 INCH U8000, UHD. Flat, smart, Wi-Fi, built</t>
  </si>
  <si>
    <t>UA32H5000F</t>
  </si>
  <si>
    <t>SAMSUNG LED TV 32 INCH H5000F, HD, smart (2025), Wifi, built</t>
  </si>
  <si>
    <t>TX40</t>
  </si>
  <si>
    <t>ETI TV Wall Mount, 26:55 Inch, Black - TX40 Fixed</t>
  </si>
  <si>
    <t>A17 8G Light Blue</t>
  </si>
  <si>
    <t>Samsung A17 (8-256) Light Blue</t>
  </si>
  <si>
    <t>A17 ( 8-256 )</t>
  </si>
  <si>
    <t>Blue</t>
  </si>
  <si>
    <t>Air Conditioner</t>
  </si>
  <si>
    <t>DB97-14334 H</t>
  </si>
  <si>
    <t>ASSY ACCESSORY Kit for  12 &amp;18</t>
  </si>
  <si>
    <t>Refrigerator</t>
  </si>
  <si>
    <t>RB34T671FS9/MR-ES</t>
  </si>
  <si>
    <t>Samsung RB34T671FS9 Bottom Mounted Freezer Refrigerator,355L</t>
  </si>
  <si>
    <t>WW80T4020CX1AS</t>
  </si>
  <si>
    <t>Samsung front loading 8k, 1200 RPM. INOX, LED display, Steam</t>
  </si>
  <si>
    <t>Samsung Charging -H</t>
  </si>
  <si>
    <t>Samsung  25W Fast Charging Adapter with USB-C Cable black</t>
  </si>
  <si>
    <t>4894947016820</t>
  </si>
  <si>
    <t>Smart watch Itel ISW-011 dark blue</t>
  </si>
  <si>
    <t>Microwave</t>
  </si>
  <si>
    <t>MS23K3614AW/GY</t>
  </si>
  <si>
    <t>microwave 23 Liter, Solo ,White/Black</t>
  </si>
  <si>
    <t>Computer accessories</t>
  </si>
  <si>
    <t>Flash Memory</t>
  </si>
  <si>
    <t>Sandisk</t>
  </si>
  <si>
    <t>SDCZ73-032G-G46</t>
  </si>
  <si>
    <t>SanDisk Flash Memory SDCZ73-032G, Ultra Flair USB 3</t>
  </si>
  <si>
    <t>QA55QN85C-ES</t>
  </si>
  <si>
    <t>SAMSUNG QLED TV 55 INCH QN85, QLED. Flat, smart, WIFI, built</t>
  </si>
  <si>
    <t>UA50U8000F</t>
  </si>
  <si>
    <t>SAMSUNG LED TV 50 INCH U8000F, UHD. Flat, smart, Wi-Fi, buil</t>
  </si>
  <si>
    <t>Kayan</t>
  </si>
  <si>
    <t>MT02</t>
  </si>
  <si>
    <t>Master MT03 TV Wall mount 32??to 55</t>
  </si>
  <si>
    <t>A57 512-D Blue</t>
  </si>
  <si>
    <t>Samsung A57 (12+512)-Dark Blue</t>
  </si>
  <si>
    <t>A57 (12+512)</t>
  </si>
  <si>
    <t>Dark Blue</t>
  </si>
  <si>
    <t>A166F-Black</t>
  </si>
  <si>
    <t>Samsung A16 (4-128G)-Black</t>
  </si>
  <si>
    <t>A16 (4-128G)</t>
  </si>
  <si>
    <t>S731-Navy</t>
  </si>
  <si>
    <t>Samsung Galaxy S25 FE (8+256G)-Navy</t>
  </si>
  <si>
    <t>Galaxy S25 FE (8+256)</t>
  </si>
  <si>
    <t>Navy</t>
  </si>
  <si>
    <t>S938B-Silver-L</t>
  </si>
  <si>
    <t>Samsung Galaxy S25 Ultra (12+256GB) Silver</t>
  </si>
  <si>
    <t>Galaxy S25 Ultra  (12-256G)</t>
  </si>
  <si>
    <t>Silver</t>
  </si>
  <si>
    <t>A17 8G Black-5G</t>
  </si>
  <si>
    <t>Samsung A17 5G (8-256) Black</t>
  </si>
  <si>
    <t>A17 ( 8-256 ) 5G</t>
  </si>
  <si>
    <t>S947-Black</t>
  </si>
  <si>
    <t>Samsung Galaxy s26 Plus (12+256 GB ) -Black</t>
  </si>
  <si>
    <t>Galaxy S26 plus (12-256G)</t>
  </si>
  <si>
    <t>BT Headsets</t>
  </si>
  <si>
    <t>8806097998068</t>
  </si>
  <si>
    <t>Samsung Buds 4 -White</t>
  </si>
  <si>
    <t>White</t>
  </si>
  <si>
    <t>Hand Blender</t>
  </si>
  <si>
    <t>Sokany</t>
  </si>
  <si>
    <t>SK-758-4N</t>
  </si>
  <si>
    <t>Sokany Hand blender 4 in 1  Model: SK-758-4N</t>
  </si>
  <si>
    <t>TV Accessory</t>
  </si>
  <si>
    <t>Mini Keyboard Mouse</t>
  </si>
  <si>
    <t>Mini Keyboard + Mouse</t>
  </si>
  <si>
    <t>UA50DU8000</t>
  </si>
  <si>
    <t>SAMSUNG LED TV 50 INCH U8000, UHD. Flat, smart, Wi-Fi, built</t>
  </si>
  <si>
    <t>UA50U8000H</t>
  </si>
  <si>
    <t>SAMSUNG LED TV 50 INCH U8000H, UHD. Flat, smart, Wi-Fi, buil</t>
  </si>
  <si>
    <t>master</t>
  </si>
  <si>
    <t>MT-01</t>
  </si>
  <si>
    <t>Wall mount 17-37 fixed</t>
  </si>
  <si>
    <t>Steady Wall M-Promo</t>
  </si>
  <si>
    <t>Steady wall mount</t>
  </si>
  <si>
    <t>Movable Wall Mount</t>
  </si>
  <si>
    <t>Truman</t>
  </si>
  <si>
    <t>YT-2663</t>
  </si>
  <si>
    <t>Truman tv wall mount 26 -63``</t>
  </si>
  <si>
    <t>5202126550000</t>
  </si>
  <si>
    <t>ST-55 Wall Mount Fixed Steel Size 26:55 Inch</t>
  </si>
  <si>
    <t>A56 8G-Black</t>
  </si>
  <si>
    <t>Samsung A56 (8+256)-Black</t>
  </si>
  <si>
    <t>A56 (8+256)</t>
  </si>
  <si>
    <t>YORK</t>
  </si>
  <si>
    <t>3MTR14122212C</t>
  </si>
  <si>
    <t>1412 Tube for York 12C</t>
  </si>
  <si>
    <t>8806092697294</t>
  </si>
  <si>
    <t>Samsung EP-T1510NBEGGB 15W PD USB-C Power Adapter Port 3 Pin</t>
  </si>
  <si>
    <t>UA55U8000F</t>
  </si>
  <si>
    <t>SAMSUNG LED TV 55 INCH U8000F, UHD. Flat, smart, Wi-Fi, buil</t>
  </si>
  <si>
    <t>A17 8G Black</t>
  </si>
  <si>
    <t>Samsung A17 (8-256) Black</t>
  </si>
  <si>
    <t>UA75M70H</t>
  </si>
  <si>
    <t>SAMSUNG LED TV 75 INCH M70H, UHD. Flat, smart, Wi-Fi, built</t>
  </si>
  <si>
    <t>QA55Q6F</t>
  </si>
  <si>
    <t>Samsung 55-inch 4K UHD QLED Vision AI Smart TV - 65Q6F</t>
  </si>
  <si>
    <t>TOSHIBA</t>
  </si>
  <si>
    <t>174336</t>
  </si>
  <si>
    <t>Wall mount 32-43 inch</t>
  </si>
  <si>
    <t>Embers</t>
  </si>
  <si>
    <t>LX55</t>
  </si>
  <si>
    <t>Embers TV Wall Mount ,Fixed  Size 26:65 Inch</t>
  </si>
  <si>
    <t>A045F-Copper</t>
  </si>
  <si>
    <t>Samsung A04 (3-32G)-Copper</t>
  </si>
  <si>
    <t>A04(3-32G)</t>
  </si>
  <si>
    <t>Copper</t>
  </si>
  <si>
    <t>A57 512-L Violet</t>
  </si>
  <si>
    <t>Samsung A57 (12+512)-Violet</t>
  </si>
  <si>
    <t>S741-Graphite</t>
  </si>
  <si>
    <t>Samsung Galaxy S26 FE (8+256)-Graphite</t>
  </si>
  <si>
    <t>Galaxy S26 FE (8+256)</t>
  </si>
  <si>
    <t>Graphite</t>
  </si>
  <si>
    <t>S741 Graphite-512</t>
  </si>
  <si>
    <t>Samsung Galaxy S26 FE (8+512)-Graphite</t>
  </si>
  <si>
    <t>Galaxy S26 FE (8+512)</t>
  </si>
  <si>
    <t>Belkin</t>
  </si>
  <si>
    <t>745883712991</t>
  </si>
  <si>
    <t>Belkin HDMI To HDMI Audio Vide</t>
  </si>
  <si>
    <t>8806092709874</t>
  </si>
  <si>
    <t>Samsung EP- T1510NBEGEU 15W Power Adapter USB-C Black</t>
  </si>
  <si>
    <t>Cover</t>
  </si>
  <si>
    <t>Non Brand</t>
  </si>
  <si>
    <t>11224537891</t>
  </si>
  <si>
    <t>Samsung A17 Cover and Screen</t>
  </si>
  <si>
    <t>S942-Violet</t>
  </si>
  <si>
    <t>Samsung Galaxy s26 (12+256 GB ) -Violet</t>
  </si>
  <si>
    <t>Galaxy S26 (12-256G)</t>
  </si>
  <si>
    <t>MG32DG4524AGGY</t>
  </si>
  <si>
    <t>microwave 32 Liter, Grill ,Black</t>
  </si>
  <si>
    <t>Small Appliance</t>
  </si>
  <si>
    <t>Sokany Yogurt maker</t>
  </si>
  <si>
    <t>Sokany Yogurt maker Gif</t>
  </si>
  <si>
    <t>KETTLE</t>
  </si>
  <si>
    <t>SK-09034</t>
  </si>
  <si>
    <t>Sokany Glass Electric Kettle 1800W  Model: SK-09034</t>
  </si>
  <si>
    <t>VG-SCFT55BL/RU</t>
  </si>
  <si>
    <t>TV frame accessories 55Black</t>
  </si>
  <si>
    <t>LS32CG552EMXEG</t>
  </si>
  <si>
    <t>Samsung curved gaming monitor Odyssey G5 32 165Hz 2K</t>
  </si>
  <si>
    <t>Reciever</t>
  </si>
  <si>
    <t>FOX</t>
  </si>
  <si>
    <t>FM-01</t>
  </si>
  <si>
    <t>Wall Mount 17-37</t>
  </si>
  <si>
    <t>QA55QN85D</t>
  </si>
  <si>
    <t>QA55S90D</t>
  </si>
  <si>
    <t>SAMSUNG Neo QLED TV 55 INCH QN90D, QLED. Flat, smart, WIFI,</t>
  </si>
  <si>
    <t>QA65Q6F</t>
  </si>
  <si>
    <t>Samsung 65-inch 4K UHD QLED Vision AI Smart TV - 65Q6F</t>
  </si>
  <si>
    <t>QA65S85F</t>
  </si>
  <si>
    <t>SAMSUNG QLED TV 65 INCH S85F, QLED. Flat, smart, WIFI, built</t>
  </si>
  <si>
    <t>QA55LS03D</t>
  </si>
  <si>
    <t>SAMSUNG QLED TV 55 INCH, Frame TV, QLED. Flat, smart, WIFI,</t>
  </si>
  <si>
    <t>5202114420001</t>
  </si>
  <si>
    <t>ST-42 Wall Mount Fixed Steel , Size 14:43 Inch</t>
  </si>
  <si>
    <t>A07 6G-Black</t>
  </si>
  <si>
    <t>Samsung A07 (6+128G)- Black</t>
  </si>
  <si>
    <t>A07 (6+128G)</t>
  </si>
  <si>
    <t>RB34A6B0E12/MR</t>
  </si>
  <si>
    <t>Samsung RB34A6B0E12  Bottom Mounted Freezer Refrigerator,355</t>
  </si>
  <si>
    <t>8806097618089</t>
  </si>
  <si>
    <t>Samsung Galaxy Buds 3 FSamsung Galaxy Buds 3 FE - BlackE - B</t>
  </si>
  <si>
    <t>8806097998471</t>
  </si>
  <si>
    <t>Samsung Buds 4 -Black</t>
  </si>
  <si>
    <t>Buds4</t>
  </si>
  <si>
    <t>8806097349235-H</t>
  </si>
  <si>
    <t>Samsung Galaxy Buds Core SM-R410 Black</t>
  </si>
  <si>
    <t>VC20M2510WB/GT</t>
  </si>
  <si>
    <t>Samsung VCC  2000 W Bag  - 450</t>
  </si>
  <si>
    <t>LS24F320GAUXEG</t>
  </si>
  <si>
    <t>Samsung Monitor 24 FHD 120Hz-LS24F320GAUXEG</t>
  </si>
  <si>
    <t>MT-02-Promo</t>
  </si>
  <si>
    <t>Wall Mount 26-55</t>
  </si>
  <si>
    <t>RB34T671FS9/MR</t>
  </si>
  <si>
    <t>WW90CGC0EDAB/AS</t>
  </si>
  <si>
    <t>Samsung Washing Machine Front Load 9K Inverter 1400 RPM, Bla</t>
  </si>
  <si>
    <t>Services</t>
  </si>
  <si>
    <t>Promo marketing</t>
  </si>
  <si>
    <t>21046140014</t>
  </si>
  <si>
    <t>Lazurde Gold Necklace</t>
  </si>
  <si>
    <t>8806097416296</t>
  </si>
  <si>
    <t>Samsung Galaxy Watch 8 44mm - Silver</t>
  </si>
  <si>
    <t>A17 8G Gray-5G</t>
  </si>
  <si>
    <t>Samsung A17 5G (8-256) Gray</t>
  </si>
  <si>
    <t>Grey</t>
  </si>
  <si>
    <t>AR12JCFTPWQNBT</t>
  </si>
  <si>
    <t>Samsung 1.5 cool  air conditio</t>
  </si>
  <si>
    <t>UA43F6000F</t>
  </si>
  <si>
    <t>SAMSUNG LED TV 43 INCH F6000F, FHD. Flat, smart, Wi-Fi, buil</t>
  </si>
  <si>
    <t>HW-Q700A/EG</t>
  </si>
  <si>
    <t>SAMSUNG Sound Bar HW-Q700A</t>
  </si>
  <si>
    <t>VC18M2120SB/GT</t>
  </si>
  <si>
    <t>Samsung VCC 1800 W-Bagless  -</t>
  </si>
  <si>
    <t>UA55U8000H</t>
  </si>
  <si>
    <t>SAMSUNG LED TV 55 INCH U8000H, UHD. Flat, smart, Wi-Fi, buil</t>
  </si>
  <si>
    <t>UA40T5300</t>
  </si>
  <si>
    <t>SAMSUNG LED TV 40 INCH T5300,</t>
  </si>
  <si>
    <t>QA65LS03H</t>
  </si>
  <si>
    <t>SAMSUNG QLED TV 65 INCH, Frame TV, QLED. Flat, smart, WIFI,</t>
  </si>
  <si>
    <t>UA43U8000H</t>
  </si>
  <si>
    <t>SAMSUNG LED TV 43 INCH U8000H, UHD. Flat, smart, Wi-Fi, buil</t>
  </si>
  <si>
    <t>UA55M70H</t>
  </si>
  <si>
    <t>SAMSUNG LED TV 55 INCH M70H, UHD. Flat, smart, Wi-Fi, built</t>
  </si>
  <si>
    <t>173859</t>
  </si>
  <si>
    <t>MB408</t>
  </si>
  <si>
    <t>ETL W.mount size 42:85-OX550-MB408 Removable</t>
  </si>
  <si>
    <t>A57 512-L Blue</t>
  </si>
  <si>
    <t>Samsung A57 (12+512)-Light Blue</t>
  </si>
  <si>
    <t>Light Blue</t>
  </si>
  <si>
    <t>A17 8G Gray</t>
  </si>
  <si>
    <t>Samsung A17 (8-256) Gray</t>
  </si>
  <si>
    <t>MG40DG5524ATGY</t>
  </si>
  <si>
    <t>microwave 40 Liter, Grill ,Black</t>
  </si>
  <si>
    <t>Macro1</t>
  </si>
  <si>
    <t>Macro10</t>
  </si>
  <si>
    <t>Macro11</t>
  </si>
  <si>
    <t>Macro12</t>
  </si>
  <si>
    <t>Macro13</t>
  </si>
  <si>
    <t>Macro14</t>
  </si>
  <si>
    <t>Macro2</t>
  </si>
  <si>
    <t>Macro3</t>
  </si>
  <si>
    <t>Macro4</t>
  </si>
  <si>
    <t>Macro5</t>
  </si>
  <si>
    <t>Macro6</t>
  </si>
  <si>
    <t>Macro7</t>
  </si>
  <si>
    <t>Macro8</t>
  </si>
  <si>
    <t>Macro9</t>
  </si>
  <si>
    <t>Recover</t>
  </si>
  <si>
    <t>Auto_Open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</si>
</sst>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2" Type="http://schemas.microsoft.com/office/2006/relationships/xlMacrosheet" Target="macrosheets/sheet1.xml" /><Relationship Id="rId1" Type="http://schemas.openxmlformats.org/officeDocument/2006/relationships/worksheet" Target="worksheets/sheet1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8333C6CB-8CD4-41B5-827B-B511D310127E}">
  <dimension ref="A1:B126"/>
  <sheetViews>
    <sheetView showFormulas="1" workbookViewId="0"/>
  </sheetViews>
  <sheetFormatPr defaultRowHeight="12.75" x14ac:dyDescent="0.15"/>
  <sheetData>
    <row r="1" spans="1:2" x14ac:dyDescent="0.15">
      <c r="A1" t="s">
        <v>295</v>
      </c>
      <c r="B1" t="s">
        <v>310</v>
      </c>
    </row>
    <row r="2" spans="1:2" x14ac:dyDescent="0.15">
      <c r="A2">
        <f>ALIGNMENT(2,FALSE,2,0,FALSE)</f>
        <v>0</v>
      </c>
      <c r="B2" t="b">
        <f>ERROR(2,Recover)</f>
        <v>1</v>
      </c>
    </row>
    <row r="3" spans="1:2" x14ac:dyDescent="0.15">
      <c r="A3">
        <f>BORDER(0,1,1,1,1,0,0,5,5,5,5)</f>
        <v>0</v>
      </c>
      <c r="B3">
        <f>WORKBOOK.SELECT("Stock")</f>
        <v>0</v>
      </c>
    </row>
    <row r="4" spans="1:2" x14ac:dyDescent="0.15">
      <c r="A4">
        <f>PATTERNS(1,0,2,TRUE)</f>
        <v>0</v>
      </c>
      <c r="B4" t="b">
        <f>WINDOW.RESTORE()</f>
        <v>1</v>
      </c>
    </row>
    <row r="5" spans="1:2" x14ac:dyDescent="0.15">
      <c r="A5">
        <f>FORMAT.FONT("Tahoma",11,FALSE,FALSE,FALSE,FALSE,1,FALSE,FALSE)</f>
        <v>0</v>
      </c>
      <c r="B5" t="b">
        <f>WINDOW.SIZE(82.5,42.75)</f>
        <v>1</v>
      </c>
    </row>
    <row r="6" spans="1:2" x14ac:dyDescent="0.15">
      <c r="A6" t="b">
        <f>RETURN()</f>
        <v>1</v>
      </c>
      <c r="B6">
        <f>WORKBOOK.HIDE("Macro1",TRUE)</f>
        <v>0</v>
      </c>
    </row>
    <row r="7" spans="1:2" x14ac:dyDescent="0.15">
      <c r="B7">
        <f>EDIT.COLOR(1,0,0,0)</f>
        <v>0</v>
      </c>
    </row>
    <row r="8" spans="1:2" x14ac:dyDescent="0.15">
      <c r="A8" t="s">
        <v>296</v>
      </c>
      <c r="B8">
        <f>EDIT.COLOR(3,255,0,0)</f>
        <v>0</v>
      </c>
    </row>
    <row r="9" spans="1:2" x14ac:dyDescent="0.15">
      <c r="A9">
        <f>ALIGNMENT(3,FALSE,2,0,FALSE)</f>
        <v>0</v>
      </c>
      <c r="B9">
        <f>EDIT.COLOR(5,172,168,153)</f>
        <v>0</v>
      </c>
    </row>
    <row r="10" spans="1:2" x14ac:dyDescent="0.15">
      <c r="A10">
        <f>BORDER(0,1,1,1,1,0,0,1,1,1,1)</f>
        <v>0</v>
      </c>
      <c r="B10">
        <f>EDIT.COLOR(6,255,204,153)</f>
        <v>0</v>
      </c>
    </row>
    <row r="11" spans="1:2" x14ac:dyDescent="0.15">
      <c r="A11">
        <f>PATTERNS(1,0,7,TRUE)</f>
        <v>0</v>
      </c>
      <c r="B11">
        <f>EDIT.COLOR(4,212,212,212)</f>
        <v>0</v>
      </c>
    </row>
    <row r="12" spans="1:2" x14ac:dyDescent="0.15">
      <c r="A12">
        <f>FORMAT.FONT("Tahoma",11,FALSE,FALSE,FALSE,FALSE,1,FALSE,FALSE)</f>
        <v>0</v>
      </c>
      <c r="B12">
        <f>EDIT.COLOR(7,223,224,223)</f>
        <v>0</v>
      </c>
    </row>
    <row r="13" spans="1:2" x14ac:dyDescent="0.15">
      <c r="A13" t="b">
        <f>RETURN()</f>
        <v>1</v>
      </c>
      <c r="B13">
        <f>EDIT.COLOR(2,255,255,255)</f>
        <v>0</v>
      </c>
    </row>
    <row r="14" spans="1:2" x14ac:dyDescent="0.15">
      <c r="B14">
        <f>RUN("Macro14")</f>
        <v>0</v>
      </c>
    </row>
    <row r="15" spans="1:2" x14ac:dyDescent="0.15">
      <c r="A15" t="s">
        <v>297</v>
      </c>
      <c r="B15">
        <f>DELETE.NAME("Auto_Open")</f>
        <v>0</v>
      </c>
    </row>
    <row r="16" spans="1:2" x14ac:dyDescent="0.15">
      <c r="A16">
        <f>ALIGNMENT(3,FALSE,2,0,FALSE)</f>
        <v>0</v>
      </c>
      <c r="B16">
        <f>WORKBOOK.SELECT("Stock")</f>
        <v>0</v>
      </c>
    </row>
    <row r="17" spans="1:2" x14ac:dyDescent="0.15">
      <c r="A17">
        <f>BORDER(0,1,1,1,1,0,0,1,1,1,1)</f>
        <v>0</v>
      </c>
      <c r="B17">
        <f>SELECT("R3:R65536")</f>
        <v>0</v>
      </c>
    </row>
    <row r="18" spans="1:2" x14ac:dyDescent="0.15">
      <c r="A18">
        <f>PATTERNS(1,0,7,TRUE)</f>
        <v>0</v>
      </c>
      <c r="B18" t="b">
        <f>COLUMN.WIDTH(,,,3)</f>
        <v>0</v>
      </c>
    </row>
    <row r="19" spans="1:2" x14ac:dyDescent="0.15">
      <c r="A19">
        <f>FORMAT.FONT("Tahoma",11,FALSE,FALSE,FALSE,FALSE,1,FALSE,FALSE)</f>
        <v>0</v>
      </c>
      <c r="B19" t="b">
        <f>ROW.HEIGHT(,,,3)</f>
        <v>0</v>
      </c>
    </row>
    <row r="20" spans="1:2" x14ac:dyDescent="0.15">
      <c r="A20" t="b">
        <f>RETURN()</f>
        <v>1</v>
      </c>
      <c r="B20">
        <f>SELECT("R1C1")</f>
        <v>0</v>
      </c>
    </row>
    <row r="21" spans="1:2" x14ac:dyDescent="0.15">
      <c r="B21" t="b">
        <f>WINDOW.MAXIMIZE()</f>
        <v>0</v>
      </c>
    </row>
    <row r="22" spans="1:2" x14ac:dyDescent="0.15">
      <c r="A22" t="s">
        <v>298</v>
      </c>
      <c r="B22" t="b">
        <f>RETURN()</f>
        <v>1</v>
      </c>
    </row>
    <row r="23" spans="1:2" x14ac:dyDescent="0.15">
      <c r="A23">
        <f>ALIGNMENT(3,FALSE,2,0,FALSE)</f>
        <v>0</v>
      </c>
    </row>
    <row r="24" spans="1:2" x14ac:dyDescent="0.15">
      <c r="A24">
        <f>BORDER(0,1,1,1,1,0,0,1,1,1,1)</f>
        <v>0</v>
      </c>
    </row>
    <row r="25" spans="1:2" x14ac:dyDescent="0.15">
      <c r="A25">
        <f>PATTERNS(1,0,7,TRUE)</f>
        <v>0</v>
      </c>
    </row>
    <row r="26" spans="1:2" x14ac:dyDescent="0.15">
      <c r="A26">
        <f>FORMAT.FONT("Tahoma",11,FALSE,FALSE,FALSE,FALSE,1,FALSE,FALSE)</f>
        <v>0</v>
      </c>
    </row>
    <row r="27" spans="1:2" x14ac:dyDescent="0.15">
      <c r="A27" t="b">
        <f>RETURN()</f>
        <v>1</v>
      </c>
    </row>
    <row r="29" spans="1:2" x14ac:dyDescent="0.15">
      <c r="A29" t="s">
        <v>299</v>
      </c>
    </row>
    <row r="30" spans="1:2" x14ac:dyDescent="0.15">
      <c r="A30">
        <f>ALIGNMENT(3,FALSE,2,0,FALSE)</f>
        <v>0</v>
      </c>
    </row>
    <row r="31" spans="1:2" x14ac:dyDescent="0.15">
      <c r="A31">
        <f>BORDER(0,1,1,1,1,0,0,1,1,1,1)</f>
        <v>0</v>
      </c>
    </row>
    <row r="32" spans="1:2" x14ac:dyDescent="0.15">
      <c r="A32">
        <f>PATTERNS(1,0,7,TRUE)</f>
        <v>0</v>
      </c>
    </row>
    <row r="33" spans="1:1" x14ac:dyDescent="0.15">
      <c r="A33">
        <f>FORMAT.FONT("Tahoma",11,FALSE,FALSE,FALSE,FALSE,1,FALSE,FALSE)</f>
        <v>0</v>
      </c>
    </row>
    <row r="34" spans="1:1" x14ac:dyDescent="0.15">
      <c r="A34" t="b">
        <f>RETURN()</f>
        <v>1</v>
      </c>
    </row>
    <row r="36" spans="1:1" x14ac:dyDescent="0.15">
      <c r="A36" t="s">
        <v>300</v>
      </c>
    </row>
    <row r="37" spans="1:1" x14ac:dyDescent="0.15">
      <c r="A37">
        <f>WORKBOOK.SELECT("Stock")</f>
        <v>0</v>
      </c>
    </row>
    <row r="38" spans="1:1" x14ac:dyDescent="0.15">
      <c r="A38">
        <f>SELECT("R6C1:R109C7")</f>
        <v>0</v>
      </c>
    </row>
    <row r="39" spans="1:1" x14ac:dyDescent="0.15">
      <c r="A39">
        <f>RUN("Macro1")</f>
        <v>0</v>
      </c>
    </row>
    <row r="40" spans="1:1" x14ac:dyDescent="0.15">
      <c r="A40">
        <f>SELECT("R6C8:R109C11")</f>
        <v>0</v>
      </c>
    </row>
    <row r="41" spans="1:1" x14ac:dyDescent="0.15">
      <c r="A41">
        <f>RUN("Macro2")</f>
        <v>0</v>
      </c>
    </row>
    <row r="42" spans="1:1" x14ac:dyDescent="0.15">
      <c r="A42">
        <f>SELECT("R6C9:R109C9,R6C10:R109C10,R6C11:R109C11")</f>
        <v>0</v>
      </c>
    </row>
    <row r="43" spans="1:1" x14ac:dyDescent="0.15">
      <c r="A43">
        <f>FORMAT.NUMBER("#########0")</f>
        <v>0</v>
      </c>
    </row>
    <row r="44" spans="1:1" x14ac:dyDescent="0.15">
      <c r="A44">
        <f>SELECT("R3C1")</f>
        <v>0</v>
      </c>
    </row>
    <row r="45" spans="1:1" x14ac:dyDescent="0.15">
      <c r="A45">
        <f>RUN("Macro3")</f>
        <v>0</v>
      </c>
    </row>
    <row r="46" spans="1:1" x14ac:dyDescent="0.15">
      <c r="A46">
        <f>SELECT("R3C2:R3C3")</f>
        <v>0</v>
      </c>
    </row>
    <row r="47" spans="1:1" x14ac:dyDescent="0.15">
      <c r="A47">
        <f>RUN("Macro4")</f>
        <v>0</v>
      </c>
    </row>
    <row r="48" spans="1:1" x14ac:dyDescent="0.15">
      <c r="A48">
        <f>SELECT("R5C1")</f>
        <v>0</v>
      </c>
    </row>
    <row r="49" spans="1:1" x14ac:dyDescent="0.15">
      <c r="A49">
        <f>RUN("Macro5")</f>
        <v>0</v>
      </c>
    </row>
    <row r="50" spans="1:1" x14ac:dyDescent="0.15">
      <c r="A50">
        <f>SELECT("R5C2")</f>
        <v>0</v>
      </c>
    </row>
    <row r="51" spans="1:1" x14ac:dyDescent="0.15">
      <c r="A51">
        <f>RUN("Macro6")</f>
        <v>0</v>
      </c>
    </row>
    <row r="52" spans="1:1" x14ac:dyDescent="0.15">
      <c r="A52">
        <f>SELECT("R5C3")</f>
        <v>0</v>
      </c>
    </row>
    <row r="53" spans="1:1" x14ac:dyDescent="0.15">
      <c r="A53">
        <f>RUN("Macro7")</f>
        <v>0</v>
      </c>
    </row>
    <row r="54" spans="1:1" x14ac:dyDescent="0.15">
      <c r="A54">
        <f>SELECT("R5C4")</f>
        <v>0</v>
      </c>
    </row>
    <row r="55" spans="1:1" x14ac:dyDescent="0.15">
      <c r="A55">
        <f>RUN("Macro8")</f>
        <v>0</v>
      </c>
    </row>
    <row r="56" spans="1:1" x14ac:dyDescent="0.15">
      <c r="A56">
        <f>SELECT("R5C5")</f>
        <v>0</v>
      </c>
    </row>
    <row r="57" spans="1:1" x14ac:dyDescent="0.15">
      <c r="A57">
        <f>RUN("Macro9")</f>
        <v>0</v>
      </c>
    </row>
    <row r="58" spans="1:1" x14ac:dyDescent="0.15">
      <c r="A58">
        <f>SELECT("R5C6")</f>
        <v>0</v>
      </c>
    </row>
    <row r="59" spans="1:1" x14ac:dyDescent="0.15">
      <c r="A59">
        <f>RUN("Macro10")</f>
        <v>0</v>
      </c>
    </row>
    <row r="60" spans="1:1" x14ac:dyDescent="0.15">
      <c r="A60">
        <f>SELECT("R5C7:R5C8")</f>
        <v>0</v>
      </c>
    </row>
    <row r="61" spans="1:1" x14ac:dyDescent="0.15">
      <c r="A61">
        <f>RUN("Macro11")</f>
        <v>0</v>
      </c>
    </row>
    <row r="62" spans="1:1" x14ac:dyDescent="0.15">
      <c r="A62">
        <f>SELECT("R5C9")</f>
        <v>0</v>
      </c>
    </row>
    <row r="63" spans="1:1" x14ac:dyDescent="0.15">
      <c r="A63">
        <f>RUN("Macro12")</f>
        <v>0</v>
      </c>
    </row>
    <row r="64" spans="1:1" x14ac:dyDescent="0.15">
      <c r="A64">
        <f>SELECT("R5C10:R5C11")</f>
        <v>0</v>
      </c>
    </row>
    <row r="65" spans="1:1" x14ac:dyDescent="0.15">
      <c r="A65">
        <f>RUN("Macro13")</f>
        <v>0</v>
      </c>
    </row>
    <row r="66" spans="1:1" x14ac:dyDescent="0.15">
      <c r="A66" t="b">
        <f>RETURN()</f>
        <v>1</v>
      </c>
    </row>
    <row r="68" spans="1:1" x14ac:dyDescent="0.15">
      <c r="A68" t="s">
        <v>301</v>
      </c>
    </row>
    <row r="69" spans="1:1" x14ac:dyDescent="0.15">
      <c r="A69">
        <f>ALIGNMENT(3,FALSE,2,0,FALSE)</f>
        <v>0</v>
      </c>
    </row>
    <row r="70" spans="1:1" x14ac:dyDescent="0.15">
      <c r="A70">
        <f>BORDER(0,1,1,1,1,0,0,5,5,5,5)</f>
        <v>0</v>
      </c>
    </row>
    <row r="71" spans="1:1" x14ac:dyDescent="0.15">
      <c r="A71">
        <f>PATTERNS(1,0,2,TRUE)</f>
        <v>0</v>
      </c>
    </row>
    <row r="72" spans="1:1" x14ac:dyDescent="0.15">
      <c r="A72">
        <f>FORMAT.FONT("Tahoma",11,FALSE,FALSE,FALSE,FALSE,1,FALSE,FALSE)</f>
        <v>0</v>
      </c>
    </row>
    <row r="73" spans="1:1" x14ac:dyDescent="0.15">
      <c r="A73" t="b">
        <f>RETURN()</f>
        <v>1</v>
      </c>
    </row>
    <row r="75" spans="1:1" x14ac:dyDescent="0.15">
      <c r="A75" t="s">
        <v>302</v>
      </c>
    </row>
    <row r="76" spans="1:1" x14ac:dyDescent="0.15">
      <c r="A76">
        <f>ALIGNMENT(2,FALSE,2,0,FALSE)</f>
        <v>0</v>
      </c>
    </row>
    <row r="77" spans="1:1" x14ac:dyDescent="0.15">
      <c r="A77">
        <f>BORDER(0,1,1,1,1,0,0,1,1,1,1)</f>
        <v>0</v>
      </c>
    </row>
    <row r="78" spans="1:1" x14ac:dyDescent="0.15">
      <c r="A78">
        <f>PATTERNS(1,0,6,TRUE)</f>
        <v>0</v>
      </c>
    </row>
    <row r="79" spans="1:1" x14ac:dyDescent="0.15">
      <c r="A79">
        <f>FORMAT.FONT("Tahoma",12,FALSE,FALSE,FALSE,FALSE,1,FALSE,FALSE)</f>
        <v>0</v>
      </c>
    </row>
    <row r="80" spans="1:1" x14ac:dyDescent="0.15">
      <c r="A80" t="b">
        <f>RETURN()</f>
        <v>1</v>
      </c>
    </row>
    <row r="82" spans="1:1" x14ac:dyDescent="0.15">
      <c r="A82" t="s">
        <v>303</v>
      </c>
    </row>
    <row r="83" spans="1:1" x14ac:dyDescent="0.15">
      <c r="A83">
        <f>ALIGNMENT(3,FALSE,2,0,FALSE)</f>
        <v>0</v>
      </c>
    </row>
    <row r="84" spans="1:1" x14ac:dyDescent="0.15">
      <c r="A84">
        <f>BORDER(0,1,1,1,1,0,0,1,1,1,1)</f>
        <v>0</v>
      </c>
    </row>
    <row r="85" spans="1:1" x14ac:dyDescent="0.15">
      <c r="A85">
        <f>PATTERNS(1,0,7,TRUE)</f>
        <v>0</v>
      </c>
    </row>
    <row r="86" spans="1:1" x14ac:dyDescent="0.15">
      <c r="A86">
        <f>FORMAT.FONT("Tahoma",11,FALSE,FALSE,FALSE,FALSE,1,FALSE,FALSE)</f>
        <v>0</v>
      </c>
    </row>
    <row r="87" spans="1:1" x14ac:dyDescent="0.15">
      <c r="A87" t="b">
        <f>RETURN()</f>
        <v>1</v>
      </c>
    </row>
    <row r="89" spans="1:1" x14ac:dyDescent="0.15">
      <c r="A89" t="s">
        <v>304</v>
      </c>
    </row>
    <row r="90" spans="1:1" x14ac:dyDescent="0.15">
      <c r="A90">
        <f>ALIGNMENT(3,FALSE,2,0,FALSE)</f>
        <v>0</v>
      </c>
    </row>
    <row r="91" spans="1:1" x14ac:dyDescent="0.15">
      <c r="A91">
        <f>BORDER(0,1,1,1,1,0,0,1,1,1,1)</f>
        <v>0</v>
      </c>
    </row>
    <row r="92" spans="1:1" x14ac:dyDescent="0.15">
      <c r="A92">
        <f>PATTERNS(1,0,7,TRUE)</f>
        <v>0</v>
      </c>
    </row>
    <row r="93" spans="1:1" x14ac:dyDescent="0.15">
      <c r="A93">
        <f>FORMAT.FONT("Tahoma",11,FALSE,FALSE,FALSE,FALSE,1,FALSE,FALSE)</f>
        <v>0</v>
      </c>
    </row>
    <row r="94" spans="1:1" x14ac:dyDescent="0.15">
      <c r="A94" t="b">
        <f>RETURN()</f>
        <v>1</v>
      </c>
    </row>
    <row r="96" spans="1:1" x14ac:dyDescent="0.15">
      <c r="A96" t="s">
        <v>305</v>
      </c>
    </row>
    <row r="97" spans="1:1" x14ac:dyDescent="0.15">
      <c r="A97">
        <f>ALIGNMENT(3,FALSE,2,0,FALSE)</f>
        <v>0</v>
      </c>
    </row>
    <row r="98" spans="1:1" x14ac:dyDescent="0.15">
      <c r="A98">
        <f>BORDER(0,1,1,1,1,0,0,1,1,1,1)</f>
        <v>0</v>
      </c>
    </row>
    <row r="99" spans="1:1" x14ac:dyDescent="0.15">
      <c r="A99">
        <f>PATTERNS(1,0,7,TRUE)</f>
        <v>0</v>
      </c>
    </row>
    <row r="100" spans="1:1" x14ac:dyDescent="0.15">
      <c r="A100">
        <f>FORMAT.FONT("Tahoma",11,FALSE,FALSE,FALSE,FALSE,1,FALSE,FALSE)</f>
        <v>0</v>
      </c>
    </row>
    <row r="101" spans="1:1" x14ac:dyDescent="0.15">
      <c r="A101" t="b">
        <f>RETURN()</f>
        <v>1</v>
      </c>
    </row>
    <row r="103" spans="1:1" x14ac:dyDescent="0.15">
      <c r="A103" t="s">
        <v>306</v>
      </c>
    </row>
    <row r="104" spans="1:1" x14ac:dyDescent="0.15">
      <c r="A104">
        <f>ALIGNMENT(3,FALSE,2,0,FALSE)</f>
        <v>0</v>
      </c>
    </row>
    <row r="105" spans="1:1" x14ac:dyDescent="0.15">
      <c r="A105">
        <f>BORDER(0,1,1,1,1,0,0,1,1,1,1)</f>
        <v>0</v>
      </c>
    </row>
    <row r="106" spans="1:1" x14ac:dyDescent="0.15">
      <c r="A106">
        <f>PATTERNS(1,0,7,TRUE)</f>
        <v>0</v>
      </c>
    </row>
    <row r="107" spans="1:1" x14ac:dyDescent="0.15">
      <c r="A107">
        <f>FORMAT.FONT("Tahoma",11,FALSE,FALSE,FALSE,FALSE,1,FALSE,FALSE)</f>
        <v>0</v>
      </c>
    </row>
    <row r="108" spans="1:1" x14ac:dyDescent="0.15">
      <c r="A108" t="b">
        <f>RETURN()</f>
        <v>1</v>
      </c>
    </row>
    <row r="110" spans="1:1" x14ac:dyDescent="0.15">
      <c r="A110" t="s">
        <v>307</v>
      </c>
    </row>
    <row r="111" spans="1:1" x14ac:dyDescent="0.15">
      <c r="A111">
        <f>ALIGNMENT(3,FALSE,2,0,FALSE)</f>
        <v>0</v>
      </c>
    </row>
    <row r="112" spans="1:1" x14ac:dyDescent="0.15">
      <c r="A112">
        <f>BORDER(0,1,1,1,1,0,0,1,1,1,1)</f>
        <v>0</v>
      </c>
    </row>
    <row r="113" spans="1:1" x14ac:dyDescent="0.15">
      <c r="A113">
        <f>PATTERNS(1,0,7,TRUE)</f>
        <v>0</v>
      </c>
    </row>
    <row r="114" spans="1:1" x14ac:dyDescent="0.15">
      <c r="A114">
        <f>FORMAT.FONT("Tahoma",11,FALSE,FALSE,FALSE,FALSE,1,FALSE,FALSE)</f>
        <v>0</v>
      </c>
    </row>
    <row r="115" spans="1:1" x14ac:dyDescent="0.15">
      <c r="A115" t="b">
        <f>RETURN()</f>
        <v>1</v>
      </c>
    </row>
    <row r="117" spans="1:1" x14ac:dyDescent="0.15">
      <c r="A117" t="s">
        <v>308</v>
      </c>
    </row>
    <row r="118" spans="1:1" x14ac:dyDescent="0.15">
      <c r="A118">
        <f>ALIGNMENT(3,FALSE,2,0,FALSE)</f>
        <v>0</v>
      </c>
    </row>
    <row r="119" spans="1:1" x14ac:dyDescent="0.15">
      <c r="A119">
        <f>BORDER(0,1,1,1,1,0,0,1,1,1,1)</f>
        <v>0</v>
      </c>
    </row>
    <row r="120" spans="1:1" x14ac:dyDescent="0.15">
      <c r="A120">
        <f>PATTERNS(1,0,7,TRUE)</f>
        <v>0</v>
      </c>
    </row>
    <row r="121" spans="1:1" x14ac:dyDescent="0.15">
      <c r="A121">
        <f>FORMAT.FONT("Tahoma",11,FALSE,FALSE,FALSE,FALSE,1,FALSE,FALSE)</f>
        <v>0</v>
      </c>
    </row>
    <row r="122" spans="1:1" x14ac:dyDescent="0.15">
      <c r="A122" t="b">
        <f>RETURN()</f>
        <v>1</v>
      </c>
    </row>
    <row r="124" spans="1:1" x14ac:dyDescent="0.15">
      <c r="A124" t="s">
        <v>309</v>
      </c>
    </row>
    <row r="125" spans="1:1" x14ac:dyDescent="0.15">
      <c r="A125" t="b">
        <f>GOTO(OFFSET(LAST.ERROR(),1,0))</f>
        <v>0</v>
      </c>
    </row>
    <row r="126" spans="1:1" x14ac:dyDescent="0.15">
      <c r="A126" t="b">
        <f>RETURN()</f>
        <v>1</v>
      </c>
    </row>
  </sheetData>
  <pageMargins left="0.75" right="0.75" top="1" bottom="1" header="0.5" footer="0.5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2F940-CA06-4705-8478-8D8702C2ABF5}">
  <dimension ref="A1:K111"/>
  <sheetViews>
    <sheetView tabSelected="1" workbookViewId="0"/>
  </sheetViews>
  <sheetFormatPr defaultRowHeight="12.75" x14ac:dyDescent="0.15"/>
  <sheetData>
    <row r="1" spans="1:11" x14ac:dyDescent="0.15">
      <c r="A1" t="s">
        <v>0</v>
      </c>
    </row>
    <row r="3" spans="1:11" x14ac:dyDescent="0.15">
      <c r="A3" t="s">
        <v>1</v>
      </c>
      <c r="B3" t="s">
        <v>2</v>
      </c>
      <c r="C3" t="s">
        <v>3</v>
      </c>
    </row>
    <row r="5" spans="1:11" x14ac:dyDescent="0.15">
      <c r="A5" t="s">
        <v>4</v>
      </c>
      <c r="B5" t="s">
        <v>5</v>
      </c>
      <c r="C5" t="s">
        <v>6</v>
      </c>
      <c r="D5" t="s">
        <v>7</v>
      </c>
      <c r="E5" t="s">
        <v>8</v>
      </c>
      <c r="F5" t="s">
        <v>9</v>
      </c>
      <c r="G5" t="s">
        <v>10</v>
      </c>
      <c r="H5" t="s">
        <v>11</v>
      </c>
      <c r="I5" t="s">
        <v>12</v>
      </c>
      <c r="J5" t="s">
        <v>13</v>
      </c>
      <c r="K5" t="s">
        <v>14</v>
      </c>
    </row>
    <row r="6" spans="1:11" x14ac:dyDescent="0.15">
      <c r="A6" t="s">
        <v>15</v>
      </c>
      <c r="B6" t="s">
        <v>16</v>
      </c>
      <c r="C6" t="s">
        <v>17</v>
      </c>
      <c r="D6" t="s">
        <v>18</v>
      </c>
      <c r="E6" t="s">
        <v>19</v>
      </c>
      <c r="F6" t="s">
        <v>18</v>
      </c>
      <c r="G6" t="s">
        <v>20</v>
      </c>
      <c r="H6" t="s">
        <v>21</v>
      </c>
      <c r="I6">
        <v>1</v>
      </c>
      <c r="J6">
        <v>1</v>
      </c>
      <c r="K6">
        <v>0</v>
      </c>
    </row>
    <row r="7" spans="1:11" x14ac:dyDescent="0.15">
      <c r="A7" t="s">
        <v>22</v>
      </c>
      <c r="B7" t="s">
        <v>23</v>
      </c>
      <c r="C7" t="s">
        <v>24</v>
      </c>
      <c r="D7" t="s">
        <v>25</v>
      </c>
      <c r="E7" t="s">
        <v>26</v>
      </c>
      <c r="F7" t="s">
        <v>20</v>
      </c>
      <c r="G7" t="s">
        <v>20</v>
      </c>
      <c r="H7" t="s">
        <v>21</v>
      </c>
      <c r="I7">
        <v>1</v>
      </c>
      <c r="J7">
        <v>1</v>
      </c>
      <c r="K7">
        <v>0</v>
      </c>
    </row>
    <row r="8" spans="1:11" x14ac:dyDescent="0.15">
      <c r="A8" t="s">
        <v>27</v>
      </c>
      <c r="B8" t="s">
        <v>28</v>
      </c>
      <c r="C8" t="s">
        <v>17</v>
      </c>
      <c r="D8" t="s">
        <v>29</v>
      </c>
      <c r="E8" t="s">
        <v>30</v>
      </c>
      <c r="F8" t="s">
        <v>31</v>
      </c>
      <c r="G8" t="s">
        <v>32</v>
      </c>
      <c r="H8" t="s">
        <v>21</v>
      </c>
      <c r="I8">
        <v>1</v>
      </c>
      <c r="J8">
        <v>1</v>
      </c>
      <c r="K8">
        <v>0</v>
      </c>
    </row>
    <row r="9" spans="1:11" x14ac:dyDescent="0.15">
      <c r="A9" t="s">
        <v>33</v>
      </c>
      <c r="B9" t="s">
        <v>34</v>
      </c>
      <c r="C9" t="s">
        <v>17</v>
      </c>
      <c r="D9" t="s">
        <v>35</v>
      </c>
      <c r="E9" t="s">
        <v>36</v>
      </c>
      <c r="F9" t="s">
        <v>20</v>
      </c>
      <c r="G9" t="s">
        <v>20</v>
      </c>
      <c r="H9" t="s">
        <v>37</v>
      </c>
      <c r="I9">
        <v>1</v>
      </c>
      <c r="J9">
        <v>1</v>
      </c>
      <c r="K9">
        <v>0</v>
      </c>
    </row>
    <row r="10" spans="1:11" x14ac:dyDescent="0.15">
      <c r="A10" t="s">
        <v>33</v>
      </c>
      <c r="B10" t="s">
        <v>34</v>
      </c>
      <c r="C10" t="s">
        <v>17</v>
      </c>
      <c r="D10" t="s">
        <v>38</v>
      </c>
      <c r="E10" t="s">
        <v>39</v>
      </c>
      <c r="F10" t="s">
        <v>38</v>
      </c>
      <c r="G10" t="s">
        <v>20</v>
      </c>
      <c r="H10" t="s">
        <v>37</v>
      </c>
      <c r="I10">
        <v>1</v>
      </c>
      <c r="J10">
        <v>1</v>
      </c>
      <c r="K10">
        <v>0</v>
      </c>
    </row>
    <row r="11" spans="1:11" x14ac:dyDescent="0.15">
      <c r="A11" t="s">
        <v>40</v>
      </c>
      <c r="B11" t="s">
        <v>41</v>
      </c>
      <c r="C11" t="s">
        <v>42</v>
      </c>
      <c r="D11" t="s">
        <v>43</v>
      </c>
      <c r="E11" t="s">
        <v>44</v>
      </c>
      <c r="F11" t="s">
        <v>20</v>
      </c>
      <c r="G11" t="s">
        <v>20</v>
      </c>
      <c r="H11" t="s">
        <v>21</v>
      </c>
      <c r="I11">
        <v>5</v>
      </c>
      <c r="J11">
        <v>5</v>
      </c>
      <c r="K11">
        <v>0</v>
      </c>
    </row>
    <row r="12" spans="1:11" x14ac:dyDescent="0.15">
      <c r="A12" t="s">
        <v>40</v>
      </c>
      <c r="B12" t="s">
        <v>45</v>
      </c>
      <c r="C12" t="s">
        <v>17</v>
      </c>
      <c r="D12" t="s">
        <v>46</v>
      </c>
      <c r="E12" t="s">
        <v>47</v>
      </c>
      <c r="F12" t="s">
        <v>20</v>
      </c>
      <c r="G12" t="s">
        <v>20</v>
      </c>
      <c r="H12" t="s">
        <v>21</v>
      </c>
      <c r="I12">
        <v>9</v>
      </c>
      <c r="J12">
        <v>9</v>
      </c>
      <c r="K12">
        <v>0</v>
      </c>
    </row>
    <row r="13" spans="1:11" x14ac:dyDescent="0.15">
      <c r="A13" t="s">
        <v>40</v>
      </c>
      <c r="B13" t="s">
        <v>45</v>
      </c>
      <c r="C13" t="s">
        <v>17</v>
      </c>
      <c r="D13" t="s">
        <v>48</v>
      </c>
      <c r="E13" t="s">
        <v>49</v>
      </c>
      <c r="F13" t="s">
        <v>20</v>
      </c>
      <c r="G13" t="s">
        <v>20</v>
      </c>
      <c r="H13" t="s">
        <v>21</v>
      </c>
      <c r="I13">
        <v>9</v>
      </c>
      <c r="J13">
        <v>9</v>
      </c>
      <c r="K13">
        <v>0</v>
      </c>
    </row>
    <row r="14" spans="1:11" x14ac:dyDescent="0.15">
      <c r="A14" t="s">
        <v>40</v>
      </c>
      <c r="B14" t="s">
        <v>50</v>
      </c>
      <c r="C14" t="s">
        <v>24</v>
      </c>
      <c r="D14" t="s">
        <v>51</v>
      </c>
      <c r="E14" t="s">
        <v>52</v>
      </c>
      <c r="F14" t="s">
        <v>20</v>
      </c>
      <c r="G14" t="s">
        <v>20</v>
      </c>
      <c r="H14" t="s">
        <v>21</v>
      </c>
      <c r="I14">
        <v>8</v>
      </c>
      <c r="J14">
        <v>8</v>
      </c>
      <c r="K14">
        <v>0</v>
      </c>
    </row>
    <row r="15" spans="1:11" x14ac:dyDescent="0.15">
      <c r="A15" t="s">
        <v>40</v>
      </c>
      <c r="B15" t="s">
        <v>53</v>
      </c>
      <c r="C15" t="s">
        <v>54</v>
      </c>
      <c r="D15" t="s">
        <v>55</v>
      </c>
      <c r="E15" t="s">
        <v>56</v>
      </c>
      <c r="F15" t="s">
        <v>57</v>
      </c>
      <c r="G15" t="s">
        <v>58</v>
      </c>
      <c r="H15" t="s">
        <v>21</v>
      </c>
      <c r="I15">
        <v>3</v>
      </c>
      <c r="J15">
        <v>3</v>
      </c>
      <c r="K15">
        <v>0</v>
      </c>
    </row>
    <row r="16" spans="1:11" x14ac:dyDescent="0.15">
      <c r="A16" t="s">
        <v>40</v>
      </c>
      <c r="B16" t="s">
        <v>53</v>
      </c>
      <c r="C16" t="s">
        <v>17</v>
      </c>
      <c r="D16" t="s">
        <v>59</v>
      </c>
      <c r="E16" t="s">
        <v>60</v>
      </c>
      <c r="F16" t="s">
        <v>20</v>
      </c>
      <c r="G16" t="s">
        <v>20</v>
      </c>
      <c r="H16" t="s">
        <v>21</v>
      </c>
      <c r="I16">
        <v>1</v>
      </c>
      <c r="J16">
        <v>1</v>
      </c>
      <c r="K16">
        <v>0</v>
      </c>
    </row>
    <row r="17" spans="1:11" x14ac:dyDescent="0.15">
      <c r="A17" t="s">
        <v>15</v>
      </c>
      <c r="B17" t="s">
        <v>61</v>
      </c>
      <c r="C17" t="s">
        <v>62</v>
      </c>
      <c r="D17" t="s">
        <v>63</v>
      </c>
      <c r="E17" t="s">
        <v>64</v>
      </c>
      <c r="F17" t="s">
        <v>20</v>
      </c>
      <c r="G17" t="s">
        <v>20</v>
      </c>
      <c r="H17" t="s">
        <v>21</v>
      </c>
      <c r="I17">
        <v>1</v>
      </c>
      <c r="J17">
        <v>1</v>
      </c>
      <c r="K17">
        <v>0</v>
      </c>
    </row>
    <row r="18" spans="1:11" x14ac:dyDescent="0.15">
      <c r="A18" t="s">
        <v>22</v>
      </c>
      <c r="B18" t="s">
        <v>65</v>
      </c>
      <c r="C18" t="s">
        <v>17</v>
      </c>
      <c r="D18" t="s">
        <v>66</v>
      </c>
      <c r="E18" t="s">
        <v>67</v>
      </c>
      <c r="F18" t="s">
        <v>20</v>
      </c>
      <c r="G18" t="s">
        <v>20</v>
      </c>
      <c r="H18" t="s">
        <v>21</v>
      </c>
      <c r="I18">
        <v>1</v>
      </c>
      <c r="J18">
        <v>1</v>
      </c>
      <c r="K18">
        <v>0</v>
      </c>
    </row>
    <row r="19" spans="1:11" x14ac:dyDescent="0.15">
      <c r="A19" t="s">
        <v>22</v>
      </c>
      <c r="B19" t="s">
        <v>68</v>
      </c>
      <c r="C19" t="s">
        <v>17</v>
      </c>
      <c r="D19" t="s">
        <v>69</v>
      </c>
      <c r="E19" t="s">
        <v>70</v>
      </c>
      <c r="F19" t="s">
        <v>71</v>
      </c>
      <c r="G19" t="s">
        <v>58</v>
      </c>
      <c r="H19" t="s">
        <v>21</v>
      </c>
      <c r="I19">
        <v>1</v>
      </c>
      <c r="J19">
        <v>1</v>
      </c>
      <c r="K19">
        <v>0</v>
      </c>
    </row>
    <row r="20" spans="1:11" x14ac:dyDescent="0.15">
      <c r="A20" t="s">
        <v>22</v>
      </c>
      <c r="B20" t="s">
        <v>68</v>
      </c>
      <c r="C20" t="s">
        <v>17</v>
      </c>
      <c r="D20" t="s">
        <v>72</v>
      </c>
      <c r="E20" t="s">
        <v>73</v>
      </c>
      <c r="F20" t="s">
        <v>20</v>
      </c>
      <c r="G20" t="s">
        <v>20</v>
      </c>
      <c r="H20" t="s">
        <v>21</v>
      </c>
      <c r="I20">
        <v>2</v>
      </c>
      <c r="J20">
        <v>2</v>
      </c>
      <c r="K20">
        <v>0</v>
      </c>
    </row>
    <row r="21" spans="1:11" x14ac:dyDescent="0.15">
      <c r="A21" t="s">
        <v>22</v>
      </c>
      <c r="B21" t="s">
        <v>74</v>
      </c>
      <c r="C21" t="s">
        <v>17</v>
      </c>
      <c r="D21" t="s">
        <v>75</v>
      </c>
      <c r="E21" t="s">
        <v>76</v>
      </c>
      <c r="F21" t="s">
        <v>75</v>
      </c>
      <c r="G21" t="s">
        <v>20</v>
      </c>
      <c r="H21" t="s">
        <v>21</v>
      </c>
      <c r="I21">
        <v>1</v>
      </c>
      <c r="J21">
        <v>1</v>
      </c>
      <c r="K21">
        <v>0</v>
      </c>
    </row>
    <row r="22" spans="1:11" x14ac:dyDescent="0.15">
      <c r="A22" t="s">
        <v>22</v>
      </c>
      <c r="B22" t="s">
        <v>74</v>
      </c>
      <c r="C22" t="s">
        <v>17</v>
      </c>
      <c r="D22" t="s">
        <v>77</v>
      </c>
      <c r="E22" t="s">
        <v>78</v>
      </c>
      <c r="F22" t="s">
        <v>77</v>
      </c>
      <c r="G22" t="s">
        <v>20</v>
      </c>
      <c r="H22" t="s">
        <v>21</v>
      </c>
      <c r="I22">
        <v>4</v>
      </c>
      <c r="J22">
        <v>4</v>
      </c>
      <c r="K22">
        <v>0</v>
      </c>
    </row>
    <row r="23" spans="1:11" x14ac:dyDescent="0.15">
      <c r="A23" t="s">
        <v>22</v>
      </c>
      <c r="B23" t="s">
        <v>74</v>
      </c>
      <c r="C23" t="s">
        <v>17</v>
      </c>
      <c r="D23" t="s">
        <v>79</v>
      </c>
      <c r="E23" t="s">
        <v>80</v>
      </c>
      <c r="F23" t="s">
        <v>79</v>
      </c>
      <c r="G23" t="s">
        <v>20</v>
      </c>
      <c r="H23" t="s">
        <v>37</v>
      </c>
      <c r="I23">
        <v>1</v>
      </c>
      <c r="J23">
        <v>1</v>
      </c>
      <c r="K23">
        <v>0</v>
      </c>
    </row>
    <row r="24" spans="1:11" x14ac:dyDescent="0.15">
      <c r="A24" t="s">
        <v>22</v>
      </c>
      <c r="B24" t="s">
        <v>74</v>
      </c>
      <c r="C24" t="s">
        <v>17</v>
      </c>
      <c r="D24" t="s">
        <v>81</v>
      </c>
      <c r="E24" t="s">
        <v>82</v>
      </c>
      <c r="F24" t="s">
        <v>81</v>
      </c>
      <c r="G24" t="s">
        <v>20</v>
      </c>
      <c r="H24" t="s">
        <v>21</v>
      </c>
      <c r="I24">
        <v>5</v>
      </c>
      <c r="J24">
        <v>5</v>
      </c>
      <c r="K24">
        <v>0</v>
      </c>
    </row>
    <row r="25" spans="1:11" x14ac:dyDescent="0.15">
      <c r="A25" t="s">
        <v>22</v>
      </c>
      <c r="B25" t="s">
        <v>23</v>
      </c>
      <c r="C25" t="s">
        <v>24</v>
      </c>
      <c r="D25" t="s">
        <v>83</v>
      </c>
      <c r="E25" t="s">
        <v>84</v>
      </c>
      <c r="F25" t="s">
        <v>20</v>
      </c>
      <c r="G25" t="s">
        <v>20</v>
      </c>
      <c r="H25" t="s">
        <v>21</v>
      </c>
      <c r="I25">
        <v>7</v>
      </c>
      <c r="J25">
        <v>7</v>
      </c>
      <c r="K25">
        <v>0</v>
      </c>
    </row>
    <row r="26" spans="1:11" x14ac:dyDescent="0.15">
      <c r="A26" t="s">
        <v>27</v>
      </c>
      <c r="B26" t="s">
        <v>28</v>
      </c>
      <c r="C26" t="s">
        <v>17</v>
      </c>
      <c r="D26" t="s">
        <v>85</v>
      </c>
      <c r="E26" t="s">
        <v>86</v>
      </c>
      <c r="F26" t="s">
        <v>87</v>
      </c>
      <c r="G26" t="s">
        <v>88</v>
      </c>
      <c r="H26" t="s">
        <v>21</v>
      </c>
      <c r="I26">
        <v>3</v>
      </c>
      <c r="J26">
        <v>3</v>
      </c>
      <c r="K26">
        <v>0</v>
      </c>
    </row>
    <row r="27" spans="1:11" x14ac:dyDescent="0.15">
      <c r="A27" t="s">
        <v>33</v>
      </c>
      <c r="B27" t="s">
        <v>89</v>
      </c>
      <c r="C27" t="s">
        <v>17</v>
      </c>
      <c r="D27" t="s">
        <v>90</v>
      </c>
      <c r="E27" t="s">
        <v>91</v>
      </c>
      <c r="F27" t="s">
        <v>20</v>
      </c>
      <c r="G27" t="s">
        <v>20</v>
      </c>
      <c r="H27" t="s">
        <v>21</v>
      </c>
      <c r="I27">
        <v>0</v>
      </c>
      <c r="J27">
        <v>1</v>
      </c>
      <c r="K27">
        <v>1</v>
      </c>
    </row>
    <row r="28" spans="1:11" x14ac:dyDescent="0.15">
      <c r="A28" t="s">
        <v>33</v>
      </c>
      <c r="B28" t="s">
        <v>92</v>
      </c>
      <c r="C28" t="s">
        <v>17</v>
      </c>
      <c r="D28" t="s">
        <v>93</v>
      </c>
      <c r="E28" t="s">
        <v>94</v>
      </c>
      <c r="F28" t="s">
        <v>20</v>
      </c>
      <c r="G28" t="s">
        <v>20</v>
      </c>
      <c r="H28" t="s">
        <v>21</v>
      </c>
      <c r="I28">
        <v>1</v>
      </c>
      <c r="J28">
        <v>1</v>
      </c>
      <c r="K28">
        <v>0</v>
      </c>
    </row>
    <row r="29" spans="1:11" x14ac:dyDescent="0.15">
      <c r="A29" t="s">
        <v>33</v>
      </c>
      <c r="B29" t="s">
        <v>34</v>
      </c>
      <c r="C29" t="s">
        <v>17</v>
      </c>
      <c r="D29" t="s">
        <v>95</v>
      </c>
      <c r="E29" t="s">
        <v>96</v>
      </c>
      <c r="F29" t="s">
        <v>95</v>
      </c>
      <c r="G29" t="s">
        <v>20</v>
      </c>
      <c r="H29" t="s">
        <v>37</v>
      </c>
      <c r="I29">
        <v>1</v>
      </c>
      <c r="J29">
        <v>1</v>
      </c>
      <c r="K29">
        <v>0</v>
      </c>
    </row>
    <row r="30" spans="1:11" x14ac:dyDescent="0.15">
      <c r="A30" t="s">
        <v>40</v>
      </c>
      <c r="B30" t="s">
        <v>50</v>
      </c>
      <c r="C30" t="s">
        <v>24</v>
      </c>
      <c r="D30" t="s">
        <v>97</v>
      </c>
      <c r="E30" t="s">
        <v>98</v>
      </c>
      <c r="F30" t="s">
        <v>20</v>
      </c>
      <c r="G30" t="s">
        <v>20</v>
      </c>
      <c r="H30" t="s">
        <v>21</v>
      </c>
      <c r="I30">
        <v>1</v>
      </c>
      <c r="J30">
        <v>1</v>
      </c>
      <c r="K30">
        <v>0</v>
      </c>
    </row>
    <row r="31" spans="1:11" x14ac:dyDescent="0.15">
      <c r="A31" t="s">
        <v>40</v>
      </c>
      <c r="B31" t="s">
        <v>53</v>
      </c>
      <c r="C31" t="s">
        <v>54</v>
      </c>
      <c r="D31" t="s">
        <v>99</v>
      </c>
      <c r="E31" t="s">
        <v>100</v>
      </c>
      <c r="F31" t="s">
        <v>57</v>
      </c>
      <c r="G31" t="s">
        <v>88</v>
      </c>
      <c r="H31" t="s">
        <v>21</v>
      </c>
      <c r="I31">
        <v>2</v>
      </c>
      <c r="J31">
        <v>2</v>
      </c>
      <c r="K31">
        <v>0</v>
      </c>
    </row>
    <row r="32" spans="1:11" x14ac:dyDescent="0.15">
      <c r="A32" t="s">
        <v>15</v>
      </c>
      <c r="B32" t="s">
        <v>101</v>
      </c>
      <c r="C32" t="s">
        <v>17</v>
      </c>
      <c r="D32" t="s">
        <v>102</v>
      </c>
      <c r="E32" t="s">
        <v>103</v>
      </c>
      <c r="F32" t="s">
        <v>102</v>
      </c>
      <c r="G32" t="s">
        <v>20</v>
      </c>
      <c r="H32" t="s">
        <v>21</v>
      </c>
      <c r="I32">
        <v>1</v>
      </c>
      <c r="J32">
        <v>1</v>
      </c>
      <c r="K32">
        <v>0</v>
      </c>
    </row>
    <row r="33" spans="1:11" x14ac:dyDescent="0.15">
      <c r="A33" t="s">
        <v>104</v>
      </c>
      <c r="B33" t="s">
        <v>105</v>
      </c>
      <c r="C33" t="s">
        <v>106</v>
      </c>
      <c r="D33" t="s">
        <v>107</v>
      </c>
      <c r="E33" t="s">
        <v>108</v>
      </c>
      <c r="F33" t="s">
        <v>20</v>
      </c>
      <c r="G33" t="s">
        <v>20</v>
      </c>
      <c r="H33" t="s">
        <v>21</v>
      </c>
      <c r="I33">
        <v>1</v>
      </c>
      <c r="J33">
        <v>1</v>
      </c>
      <c r="K33">
        <v>0</v>
      </c>
    </row>
    <row r="34" spans="1:11" x14ac:dyDescent="0.15">
      <c r="A34" t="s">
        <v>22</v>
      </c>
      <c r="B34" t="s">
        <v>74</v>
      </c>
      <c r="C34" t="s">
        <v>17</v>
      </c>
      <c r="D34" t="s">
        <v>109</v>
      </c>
      <c r="E34" t="s">
        <v>110</v>
      </c>
      <c r="F34" t="s">
        <v>109</v>
      </c>
      <c r="G34" t="s">
        <v>20</v>
      </c>
      <c r="H34" t="s">
        <v>21</v>
      </c>
      <c r="I34">
        <v>1</v>
      </c>
      <c r="J34">
        <v>1</v>
      </c>
      <c r="K34">
        <v>0</v>
      </c>
    </row>
    <row r="35" spans="1:11" x14ac:dyDescent="0.15">
      <c r="A35" t="s">
        <v>22</v>
      </c>
      <c r="B35" t="s">
        <v>74</v>
      </c>
      <c r="C35" t="s">
        <v>17</v>
      </c>
      <c r="D35" t="s">
        <v>111</v>
      </c>
      <c r="E35" t="s">
        <v>112</v>
      </c>
      <c r="F35" t="s">
        <v>111</v>
      </c>
      <c r="G35" t="s">
        <v>20</v>
      </c>
      <c r="H35" t="s">
        <v>37</v>
      </c>
      <c r="I35">
        <v>1</v>
      </c>
      <c r="J35">
        <v>1</v>
      </c>
      <c r="K35">
        <v>0</v>
      </c>
    </row>
    <row r="36" spans="1:11" x14ac:dyDescent="0.15">
      <c r="A36" t="s">
        <v>22</v>
      </c>
      <c r="B36" t="s">
        <v>23</v>
      </c>
      <c r="C36" t="s">
        <v>113</v>
      </c>
      <c r="D36" t="s">
        <v>114</v>
      </c>
      <c r="E36" t="s">
        <v>115</v>
      </c>
      <c r="F36" t="s">
        <v>20</v>
      </c>
      <c r="G36" t="s">
        <v>20</v>
      </c>
      <c r="H36" t="s">
        <v>21</v>
      </c>
      <c r="I36">
        <v>1</v>
      </c>
      <c r="J36">
        <v>1</v>
      </c>
      <c r="K36">
        <v>0</v>
      </c>
    </row>
    <row r="37" spans="1:11" x14ac:dyDescent="0.15">
      <c r="A37" t="s">
        <v>27</v>
      </c>
      <c r="B37" t="s">
        <v>28</v>
      </c>
      <c r="C37" t="s">
        <v>17</v>
      </c>
      <c r="D37" t="s">
        <v>116</v>
      </c>
      <c r="E37" t="s">
        <v>117</v>
      </c>
      <c r="F37" t="s">
        <v>118</v>
      </c>
      <c r="G37" t="s">
        <v>119</v>
      </c>
      <c r="H37" t="s">
        <v>21</v>
      </c>
      <c r="I37">
        <v>1</v>
      </c>
      <c r="J37">
        <v>1</v>
      </c>
      <c r="K37">
        <v>0</v>
      </c>
    </row>
    <row r="38" spans="1:11" x14ac:dyDescent="0.15">
      <c r="A38" t="s">
        <v>27</v>
      </c>
      <c r="B38" t="s">
        <v>28</v>
      </c>
      <c r="C38" t="s">
        <v>17</v>
      </c>
      <c r="D38" t="s">
        <v>120</v>
      </c>
      <c r="E38" t="s">
        <v>121</v>
      </c>
      <c r="F38" t="s">
        <v>122</v>
      </c>
      <c r="G38" t="s">
        <v>58</v>
      </c>
      <c r="H38" t="s">
        <v>21</v>
      </c>
      <c r="I38">
        <v>1</v>
      </c>
      <c r="J38">
        <v>1</v>
      </c>
      <c r="K38">
        <v>0</v>
      </c>
    </row>
    <row r="39" spans="1:11" x14ac:dyDescent="0.15">
      <c r="A39" t="s">
        <v>27</v>
      </c>
      <c r="B39" t="s">
        <v>28</v>
      </c>
      <c r="C39" t="s">
        <v>17</v>
      </c>
      <c r="D39" t="s">
        <v>123</v>
      </c>
      <c r="E39" t="s">
        <v>124</v>
      </c>
      <c r="F39" t="s">
        <v>125</v>
      </c>
      <c r="G39" t="s">
        <v>126</v>
      </c>
      <c r="H39" t="s">
        <v>21</v>
      </c>
      <c r="I39">
        <v>1</v>
      </c>
      <c r="J39">
        <v>1</v>
      </c>
      <c r="K39">
        <v>0</v>
      </c>
    </row>
    <row r="40" spans="1:11" x14ac:dyDescent="0.15">
      <c r="A40" t="s">
        <v>27</v>
      </c>
      <c r="B40" t="s">
        <v>28</v>
      </c>
      <c r="C40" t="s">
        <v>17</v>
      </c>
      <c r="D40" t="s">
        <v>127</v>
      </c>
      <c r="E40" t="s">
        <v>128</v>
      </c>
      <c r="F40" t="s">
        <v>129</v>
      </c>
      <c r="G40" t="s">
        <v>130</v>
      </c>
      <c r="H40" t="s">
        <v>21</v>
      </c>
      <c r="I40">
        <v>1</v>
      </c>
      <c r="J40">
        <v>1</v>
      </c>
      <c r="K40">
        <v>0</v>
      </c>
    </row>
    <row r="41" spans="1:11" x14ac:dyDescent="0.15">
      <c r="A41" t="s">
        <v>27</v>
      </c>
      <c r="B41" t="s">
        <v>28</v>
      </c>
      <c r="C41" t="s">
        <v>17</v>
      </c>
      <c r="D41" t="s">
        <v>131</v>
      </c>
      <c r="E41" t="s">
        <v>132</v>
      </c>
      <c r="F41" t="s">
        <v>133</v>
      </c>
      <c r="G41" t="s">
        <v>58</v>
      </c>
      <c r="H41" t="s">
        <v>21</v>
      </c>
      <c r="I41">
        <v>5</v>
      </c>
      <c r="J41">
        <v>5</v>
      </c>
      <c r="K41">
        <v>0</v>
      </c>
    </row>
    <row r="42" spans="1:11" x14ac:dyDescent="0.15">
      <c r="A42" t="s">
        <v>27</v>
      </c>
      <c r="B42" t="s">
        <v>28</v>
      </c>
      <c r="C42" t="s">
        <v>17</v>
      </c>
      <c r="D42" t="s">
        <v>134</v>
      </c>
      <c r="E42" t="s">
        <v>135</v>
      </c>
      <c r="F42" t="s">
        <v>136</v>
      </c>
      <c r="G42" t="s">
        <v>58</v>
      </c>
      <c r="H42" t="s">
        <v>21</v>
      </c>
      <c r="I42">
        <v>2</v>
      </c>
      <c r="J42">
        <v>2</v>
      </c>
      <c r="K42">
        <v>0</v>
      </c>
    </row>
    <row r="43" spans="1:11" x14ac:dyDescent="0.15">
      <c r="A43" t="s">
        <v>40</v>
      </c>
      <c r="B43" t="s">
        <v>137</v>
      </c>
      <c r="C43" t="s">
        <v>17</v>
      </c>
      <c r="D43" t="s">
        <v>138</v>
      </c>
      <c r="E43" t="s">
        <v>139</v>
      </c>
      <c r="F43" t="s">
        <v>20</v>
      </c>
      <c r="G43" t="s">
        <v>140</v>
      </c>
      <c r="H43" t="s">
        <v>21</v>
      </c>
      <c r="I43">
        <v>1</v>
      </c>
      <c r="J43">
        <v>1</v>
      </c>
      <c r="K43">
        <v>0</v>
      </c>
    </row>
    <row r="44" spans="1:11" x14ac:dyDescent="0.15">
      <c r="A44" t="s">
        <v>15</v>
      </c>
      <c r="B44" t="s">
        <v>141</v>
      </c>
      <c r="C44" t="s">
        <v>142</v>
      </c>
      <c r="D44" t="s">
        <v>143</v>
      </c>
      <c r="E44" t="s">
        <v>144</v>
      </c>
      <c r="F44" t="s">
        <v>20</v>
      </c>
      <c r="G44" t="s">
        <v>20</v>
      </c>
      <c r="H44" t="s">
        <v>21</v>
      </c>
      <c r="I44">
        <v>3</v>
      </c>
      <c r="J44">
        <v>3</v>
      </c>
      <c r="K44">
        <v>0</v>
      </c>
    </row>
    <row r="45" spans="1:11" x14ac:dyDescent="0.15">
      <c r="A45" t="s">
        <v>22</v>
      </c>
      <c r="B45" t="s">
        <v>145</v>
      </c>
      <c r="C45" t="s">
        <v>17</v>
      </c>
      <c r="D45" t="s">
        <v>146</v>
      </c>
      <c r="E45" t="s">
        <v>147</v>
      </c>
      <c r="F45" t="s">
        <v>147</v>
      </c>
      <c r="G45" t="s">
        <v>20</v>
      </c>
      <c r="H45" t="s">
        <v>21</v>
      </c>
      <c r="I45">
        <v>6</v>
      </c>
      <c r="J45">
        <v>6</v>
      </c>
      <c r="K45">
        <v>0</v>
      </c>
    </row>
    <row r="46" spans="1:11" x14ac:dyDescent="0.15">
      <c r="A46" t="s">
        <v>22</v>
      </c>
      <c r="B46" t="s">
        <v>74</v>
      </c>
      <c r="C46" t="s">
        <v>17</v>
      </c>
      <c r="D46" t="s">
        <v>148</v>
      </c>
      <c r="E46" t="s">
        <v>149</v>
      </c>
      <c r="F46" t="s">
        <v>148</v>
      </c>
      <c r="G46" t="s">
        <v>20</v>
      </c>
      <c r="H46" t="s">
        <v>37</v>
      </c>
      <c r="I46">
        <v>1</v>
      </c>
      <c r="J46">
        <v>1</v>
      </c>
      <c r="K46">
        <v>0</v>
      </c>
    </row>
    <row r="47" spans="1:11" x14ac:dyDescent="0.15">
      <c r="A47" t="s">
        <v>22</v>
      </c>
      <c r="B47" t="s">
        <v>74</v>
      </c>
      <c r="C47" t="s">
        <v>17</v>
      </c>
      <c r="D47" t="s">
        <v>150</v>
      </c>
      <c r="E47" t="s">
        <v>151</v>
      </c>
      <c r="F47" t="s">
        <v>150</v>
      </c>
      <c r="G47" t="s">
        <v>20</v>
      </c>
      <c r="H47" t="s">
        <v>21</v>
      </c>
      <c r="I47">
        <v>3</v>
      </c>
      <c r="J47">
        <v>3</v>
      </c>
      <c r="K47">
        <v>0</v>
      </c>
    </row>
    <row r="48" spans="1:11" x14ac:dyDescent="0.15">
      <c r="A48" t="s">
        <v>22</v>
      </c>
      <c r="B48" t="s">
        <v>23</v>
      </c>
      <c r="C48" t="s">
        <v>152</v>
      </c>
      <c r="D48" t="s">
        <v>153</v>
      </c>
      <c r="E48" t="s">
        <v>154</v>
      </c>
      <c r="F48" t="s">
        <v>20</v>
      </c>
      <c r="G48" t="s">
        <v>20</v>
      </c>
      <c r="H48" t="s">
        <v>21</v>
      </c>
      <c r="I48">
        <v>1</v>
      </c>
      <c r="J48">
        <v>1</v>
      </c>
      <c r="K48">
        <v>0</v>
      </c>
    </row>
    <row r="49" spans="1:11" x14ac:dyDescent="0.15">
      <c r="A49" t="s">
        <v>22</v>
      </c>
      <c r="B49" t="s">
        <v>23</v>
      </c>
      <c r="C49" t="s">
        <v>17</v>
      </c>
      <c r="D49" t="s">
        <v>155</v>
      </c>
      <c r="E49" t="s">
        <v>156</v>
      </c>
      <c r="F49" t="s">
        <v>20</v>
      </c>
      <c r="G49" t="s">
        <v>20</v>
      </c>
      <c r="H49" t="s">
        <v>21</v>
      </c>
      <c r="I49">
        <v>5</v>
      </c>
      <c r="J49">
        <v>5</v>
      </c>
      <c r="K49">
        <v>0</v>
      </c>
    </row>
    <row r="50" spans="1:11" x14ac:dyDescent="0.15">
      <c r="A50" t="s">
        <v>22</v>
      </c>
      <c r="B50" t="s">
        <v>23</v>
      </c>
      <c r="C50" t="s">
        <v>17</v>
      </c>
      <c r="D50" t="s">
        <v>157</v>
      </c>
      <c r="E50" t="s">
        <v>157</v>
      </c>
      <c r="F50" t="s">
        <v>157</v>
      </c>
      <c r="G50" t="s">
        <v>20</v>
      </c>
      <c r="H50" t="s">
        <v>21</v>
      </c>
      <c r="I50">
        <v>3</v>
      </c>
      <c r="J50">
        <v>3</v>
      </c>
      <c r="K50">
        <v>0</v>
      </c>
    </row>
    <row r="51" spans="1:11" x14ac:dyDescent="0.15">
      <c r="A51" t="s">
        <v>22</v>
      </c>
      <c r="B51" t="s">
        <v>23</v>
      </c>
      <c r="C51" t="s">
        <v>158</v>
      </c>
      <c r="D51" t="s">
        <v>159</v>
      </c>
      <c r="E51" t="s">
        <v>160</v>
      </c>
      <c r="F51" t="s">
        <v>20</v>
      </c>
      <c r="G51" t="s">
        <v>20</v>
      </c>
      <c r="H51" t="s">
        <v>21</v>
      </c>
      <c r="I51">
        <v>2</v>
      </c>
      <c r="J51">
        <v>2</v>
      </c>
      <c r="K51">
        <v>0</v>
      </c>
    </row>
    <row r="52" spans="1:11" x14ac:dyDescent="0.15">
      <c r="A52" t="s">
        <v>22</v>
      </c>
      <c r="B52" t="s">
        <v>23</v>
      </c>
      <c r="C52" t="s">
        <v>24</v>
      </c>
      <c r="D52" t="s">
        <v>161</v>
      </c>
      <c r="E52" t="s">
        <v>162</v>
      </c>
      <c r="F52" t="s">
        <v>20</v>
      </c>
      <c r="G52" t="s">
        <v>20</v>
      </c>
      <c r="H52" t="s">
        <v>21</v>
      </c>
      <c r="I52">
        <v>5</v>
      </c>
      <c r="J52">
        <v>5</v>
      </c>
      <c r="K52">
        <v>0</v>
      </c>
    </row>
    <row r="53" spans="1:11" x14ac:dyDescent="0.15">
      <c r="A53" t="s">
        <v>27</v>
      </c>
      <c r="B53" t="s">
        <v>28</v>
      </c>
      <c r="C53" t="s">
        <v>17</v>
      </c>
      <c r="D53" t="s">
        <v>163</v>
      </c>
      <c r="E53" t="s">
        <v>164</v>
      </c>
      <c r="F53" t="s">
        <v>165</v>
      </c>
      <c r="G53" t="s">
        <v>58</v>
      </c>
      <c r="H53" t="s">
        <v>21</v>
      </c>
      <c r="I53">
        <v>1</v>
      </c>
      <c r="J53">
        <v>1</v>
      </c>
      <c r="K53">
        <v>0</v>
      </c>
    </row>
    <row r="54" spans="1:11" x14ac:dyDescent="0.15">
      <c r="A54" t="s">
        <v>33</v>
      </c>
      <c r="B54" t="s">
        <v>89</v>
      </c>
      <c r="C54" t="s">
        <v>166</v>
      </c>
      <c r="D54" t="s">
        <v>167</v>
      </c>
      <c r="E54" t="s">
        <v>168</v>
      </c>
      <c r="F54" t="s">
        <v>167</v>
      </c>
      <c r="G54" t="s">
        <v>20</v>
      </c>
      <c r="H54" t="s">
        <v>21</v>
      </c>
      <c r="I54">
        <v>0</v>
      </c>
      <c r="J54">
        <v>1</v>
      </c>
      <c r="K54">
        <v>1</v>
      </c>
    </row>
    <row r="55" spans="1:11" x14ac:dyDescent="0.15">
      <c r="A55" t="s">
        <v>40</v>
      </c>
      <c r="B55" t="s">
        <v>45</v>
      </c>
      <c r="C55" t="s">
        <v>17</v>
      </c>
      <c r="D55" t="s">
        <v>169</v>
      </c>
      <c r="E55" t="s">
        <v>170</v>
      </c>
      <c r="F55" t="s">
        <v>20</v>
      </c>
      <c r="G55" t="s">
        <v>20</v>
      </c>
      <c r="H55" t="s">
        <v>21</v>
      </c>
      <c r="I55">
        <v>3</v>
      </c>
      <c r="J55">
        <v>3</v>
      </c>
      <c r="K55">
        <v>0</v>
      </c>
    </row>
    <row r="56" spans="1:11" x14ac:dyDescent="0.15">
      <c r="A56" t="s">
        <v>22</v>
      </c>
      <c r="B56" t="s">
        <v>74</v>
      </c>
      <c r="C56" t="s">
        <v>17</v>
      </c>
      <c r="D56" t="s">
        <v>171</v>
      </c>
      <c r="E56" t="s">
        <v>172</v>
      </c>
      <c r="F56" t="s">
        <v>171</v>
      </c>
      <c r="G56" t="s">
        <v>20</v>
      </c>
      <c r="H56" t="s">
        <v>37</v>
      </c>
      <c r="I56">
        <v>1</v>
      </c>
      <c r="J56">
        <v>1</v>
      </c>
      <c r="K56">
        <v>0</v>
      </c>
    </row>
    <row r="57" spans="1:11" x14ac:dyDescent="0.15">
      <c r="A57" t="s">
        <v>27</v>
      </c>
      <c r="B57" t="s">
        <v>28</v>
      </c>
      <c r="C57" t="s">
        <v>17</v>
      </c>
      <c r="D57" t="s">
        <v>173</v>
      </c>
      <c r="E57" t="s">
        <v>174</v>
      </c>
      <c r="F57" t="s">
        <v>87</v>
      </c>
      <c r="G57" t="s">
        <v>58</v>
      </c>
      <c r="H57" t="s">
        <v>21</v>
      </c>
      <c r="I57">
        <v>2</v>
      </c>
      <c r="J57">
        <v>2</v>
      </c>
      <c r="K57">
        <v>0</v>
      </c>
    </row>
    <row r="58" spans="1:11" x14ac:dyDescent="0.15">
      <c r="A58" t="s">
        <v>15</v>
      </c>
      <c r="B58" t="s">
        <v>16</v>
      </c>
      <c r="C58" t="s">
        <v>17</v>
      </c>
      <c r="D58" t="s">
        <v>18</v>
      </c>
      <c r="E58" t="s">
        <v>19</v>
      </c>
      <c r="F58" t="s">
        <v>18</v>
      </c>
      <c r="G58" t="s">
        <v>20</v>
      </c>
      <c r="H58" t="s">
        <v>37</v>
      </c>
      <c r="I58">
        <v>1</v>
      </c>
      <c r="J58">
        <v>1</v>
      </c>
      <c r="K58">
        <v>0</v>
      </c>
    </row>
    <row r="59" spans="1:11" x14ac:dyDescent="0.15">
      <c r="A59" t="s">
        <v>22</v>
      </c>
      <c r="B59" t="s">
        <v>74</v>
      </c>
      <c r="C59" t="s">
        <v>17</v>
      </c>
      <c r="D59" t="s">
        <v>175</v>
      </c>
      <c r="E59" t="s">
        <v>176</v>
      </c>
      <c r="F59" t="s">
        <v>175</v>
      </c>
      <c r="G59" t="s">
        <v>20</v>
      </c>
      <c r="H59" t="s">
        <v>21</v>
      </c>
      <c r="I59">
        <v>1</v>
      </c>
      <c r="J59">
        <v>1</v>
      </c>
      <c r="K59">
        <v>0</v>
      </c>
    </row>
    <row r="60" spans="1:11" x14ac:dyDescent="0.15">
      <c r="A60" t="s">
        <v>22</v>
      </c>
      <c r="B60" t="s">
        <v>74</v>
      </c>
      <c r="C60" t="s">
        <v>17</v>
      </c>
      <c r="D60" t="s">
        <v>177</v>
      </c>
      <c r="E60" t="s">
        <v>178</v>
      </c>
      <c r="F60" t="s">
        <v>177</v>
      </c>
      <c r="G60" t="s">
        <v>20</v>
      </c>
      <c r="H60" t="s">
        <v>21</v>
      </c>
      <c r="I60">
        <v>1</v>
      </c>
      <c r="J60">
        <v>1</v>
      </c>
      <c r="K60">
        <v>0</v>
      </c>
    </row>
    <row r="61" spans="1:11" x14ac:dyDescent="0.15">
      <c r="A61" t="s">
        <v>22</v>
      </c>
      <c r="B61" t="s">
        <v>23</v>
      </c>
      <c r="C61" t="s">
        <v>179</v>
      </c>
      <c r="D61" t="s">
        <v>180</v>
      </c>
      <c r="E61" t="s">
        <v>181</v>
      </c>
      <c r="F61" t="s">
        <v>20</v>
      </c>
      <c r="G61" t="s">
        <v>20</v>
      </c>
      <c r="H61" t="s">
        <v>21</v>
      </c>
      <c r="I61">
        <v>2</v>
      </c>
      <c r="J61">
        <v>2</v>
      </c>
      <c r="K61">
        <v>0</v>
      </c>
    </row>
    <row r="62" spans="1:11" x14ac:dyDescent="0.15">
      <c r="A62" t="s">
        <v>22</v>
      </c>
      <c r="B62" t="s">
        <v>23</v>
      </c>
      <c r="C62" t="s">
        <v>182</v>
      </c>
      <c r="D62" t="s">
        <v>183</v>
      </c>
      <c r="E62" t="s">
        <v>184</v>
      </c>
      <c r="F62" t="s">
        <v>20</v>
      </c>
      <c r="G62" t="s">
        <v>20</v>
      </c>
      <c r="H62" t="s">
        <v>21</v>
      </c>
      <c r="I62">
        <v>2</v>
      </c>
      <c r="J62">
        <v>2</v>
      </c>
      <c r="K62">
        <v>0</v>
      </c>
    </row>
    <row r="63" spans="1:11" x14ac:dyDescent="0.15">
      <c r="A63" t="s">
        <v>27</v>
      </c>
      <c r="B63" t="s">
        <v>28</v>
      </c>
      <c r="C63" t="s">
        <v>17</v>
      </c>
      <c r="D63" t="s">
        <v>185</v>
      </c>
      <c r="E63" t="s">
        <v>186</v>
      </c>
      <c r="F63" t="s">
        <v>187</v>
      </c>
      <c r="G63" t="s">
        <v>188</v>
      </c>
      <c r="H63" t="s">
        <v>21</v>
      </c>
      <c r="I63">
        <v>1</v>
      </c>
      <c r="J63">
        <v>1</v>
      </c>
      <c r="K63">
        <v>0</v>
      </c>
    </row>
    <row r="64" spans="1:11" x14ac:dyDescent="0.15">
      <c r="A64" t="s">
        <v>27</v>
      </c>
      <c r="B64" t="s">
        <v>28</v>
      </c>
      <c r="C64" t="s">
        <v>17</v>
      </c>
      <c r="D64" t="s">
        <v>189</v>
      </c>
      <c r="E64" t="s">
        <v>190</v>
      </c>
      <c r="F64" t="s">
        <v>118</v>
      </c>
      <c r="G64" t="s">
        <v>32</v>
      </c>
      <c r="H64" t="s">
        <v>21</v>
      </c>
      <c r="I64">
        <v>1</v>
      </c>
      <c r="J64">
        <v>1</v>
      </c>
      <c r="K64">
        <v>0</v>
      </c>
    </row>
    <row r="65" spans="1:11" x14ac:dyDescent="0.15">
      <c r="A65" t="s">
        <v>27</v>
      </c>
      <c r="B65" t="s">
        <v>28</v>
      </c>
      <c r="C65" t="s">
        <v>17</v>
      </c>
      <c r="D65" t="s">
        <v>191</v>
      </c>
      <c r="E65" t="s">
        <v>192</v>
      </c>
      <c r="F65" t="s">
        <v>193</v>
      </c>
      <c r="G65" t="s">
        <v>194</v>
      </c>
      <c r="H65" t="s">
        <v>21</v>
      </c>
      <c r="I65">
        <v>1</v>
      </c>
      <c r="J65">
        <v>1</v>
      </c>
      <c r="K65">
        <v>0</v>
      </c>
    </row>
    <row r="66" spans="1:11" x14ac:dyDescent="0.15">
      <c r="A66" t="s">
        <v>27</v>
      </c>
      <c r="B66" t="s">
        <v>28</v>
      </c>
      <c r="C66" t="s">
        <v>17</v>
      </c>
      <c r="D66" t="s">
        <v>195</v>
      </c>
      <c r="E66" t="s">
        <v>196</v>
      </c>
      <c r="F66" t="s">
        <v>197</v>
      </c>
      <c r="G66" t="s">
        <v>194</v>
      </c>
      <c r="H66" t="s">
        <v>21</v>
      </c>
      <c r="I66">
        <v>1</v>
      </c>
      <c r="J66">
        <v>1</v>
      </c>
      <c r="K66">
        <v>0</v>
      </c>
    </row>
    <row r="67" spans="1:11" x14ac:dyDescent="0.15">
      <c r="A67" t="s">
        <v>40</v>
      </c>
      <c r="B67" t="s">
        <v>41</v>
      </c>
      <c r="C67" t="s">
        <v>198</v>
      </c>
      <c r="D67" t="s">
        <v>199</v>
      </c>
      <c r="E67" t="s">
        <v>200</v>
      </c>
      <c r="F67" t="s">
        <v>20</v>
      </c>
      <c r="G67" t="s">
        <v>20</v>
      </c>
      <c r="H67" t="s">
        <v>21</v>
      </c>
      <c r="I67">
        <v>1</v>
      </c>
      <c r="J67">
        <v>1</v>
      </c>
      <c r="K67">
        <v>0</v>
      </c>
    </row>
    <row r="68" spans="1:11" x14ac:dyDescent="0.15">
      <c r="A68" t="s">
        <v>40</v>
      </c>
      <c r="B68" t="s">
        <v>45</v>
      </c>
      <c r="C68" t="s">
        <v>17</v>
      </c>
      <c r="D68" t="s">
        <v>201</v>
      </c>
      <c r="E68" t="s">
        <v>202</v>
      </c>
      <c r="F68" t="s">
        <v>20</v>
      </c>
      <c r="G68" t="s">
        <v>20</v>
      </c>
      <c r="H68" t="s">
        <v>21</v>
      </c>
      <c r="I68">
        <v>1</v>
      </c>
      <c r="J68">
        <v>1</v>
      </c>
      <c r="K68">
        <v>0</v>
      </c>
    </row>
    <row r="69" spans="1:11" x14ac:dyDescent="0.15">
      <c r="A69" t="s">
        <v>40</v>
      </c>
      <c r="B69" t="s">
        <v>203</v>
      </c>
      <c r="C69" t="s">
        <v>204</v>
      </c>
      <c r="D69" t="s">
        <v>205</v>
      </c>
      <c r="E69" t="s">
        <v>206</v>
      </c>
      <c r="F69" t="s">
        <v>20</v>
      </c>
      <c r="G69" t="s">
        <v>20</v>
      </c>
      <c r="H69" t="s">
        <v>21</v>
      </c>
      <c r="I69">
        <v>9</v>
      </c>
      <c r="J69">
        <v>9</v>
      </c>
      <c r="K69">
        <v>0</v>
      </c>
    </row>
    <row r="70" spans="1:11" x14ac:dyDescent="0.15">
      <c r="A70" t="s">
        <v>27</v>
      </c>
      <c r="B70" t="s">
        <v>28</v>
      </c>
      <c r="C70" t="s">
        <v>17</v>
      </c>
      <c r="D70" t="s">
        <v>207</v>
      </c>
      <c r="E70" t="s">
        <v>208</v>
      </c>
      <c r="F70" t="s">
        <v>209</v>
      </c>
      <c r="G70" t="s">
        <v>32</v>
      </c>
      <c r="H70" t="s">
        <v>21</v>
      </c>
      <c r="I70">
        <v>1</v>
      </c>
      <c r="J70">
        <v>1</v>
      </c>
      <c r="K70">
        <v>0</v>
      </c>
    </row>
    <row r="71" spans="1:11" x14ac:dyDescent="0.15">
      <c r="A71" t="s">
        <v>15</v>
      </c>
      <c r="B71" t="s">
        <v>101</v>
      </c>
      <c r="C71" t="s">
        <v>17</v>
      </c>
      <c r="D71" t="s">
        <v>210</v>
      </c>
      <c r="E71" t="s">
        <v>211</v>
      </c>
      <c r="F71" t="s">
        <v>210</v>
      </c>
      <c r="G71" t="s">
        <v>20</v>
      </c>
      <c r="H71" t="s">
        <v>37</v>
      </c>
      <c r="I71">
        <v>1</v>
      </c>
      <c r="J71">
        <v>1</v>
      </c>
      <c r="K71">
        <v>0</v>
      </c>
    </row>
    <row r="72" spans="1:11" x14ac:dyDescent="0.15">
      <c r="A72" t="s">
        <v>15</v>
      </c>
      <c r="B72" t="s">
        <v>212</v>
      </c>
      <c r="C72" t="s">
        <v>142</v>
      </c>
      <c r="D72" t="s">
        <v>213</v>
      </c>
      <c r="E72" t="s">
        <v>214</v>
      </c>
      <c r="F72" t="s">
        <v>20</v>
      </c>
      <c r="G72" t="s">
        <v>20</v>
      </c>
      <c r="H72" t="s">
        <v>21</v>
      </c>
      <c r="I72">
        <v>4</v>
      </c>
      <c r="J72">
        <v>4</v>
      </c>
      <c r="K72">
        <v>0</v>
      </c>
    </row>
    <row r="73" spans="1:11" x14ac:dyDescent="0.15">
      <c r="A73" t="s">
        <v>15</v>
      </c>
      <c r="B73" t="s">
        <v>215</v>
      </c>
      <c r="C73" t="s">
        <v>142</v>
      </c>
      <c r="D73" t="s">
        <v>216</v>
      </c>
      <c r="E73" t="s">
        <v>217</v>
      </c>
      <c r="F73" t="s">
        <v>20</v>
      </c>
      <c r="G73" t="s">
        <v>20</v>
      </c>
      <c r="H73" t="s">
        <v>21</v>
      </c>
      <c r="I73">
        <v>1</v>
      </c>
      <c r="J73">
        <v>1</v>
      </c>
      <c r="K73">
        <v>0</v>
      </c>
    </row>
    <row r="74" spans="1:11" x14ac:dyDescent="0.15">
      <c r="A74" t="s">
        <v>22</v>
      </c>
      <c r="B74" t="s">
        <v>65</v>
      </c>
      <c r="C74" t="s">
        <v>17</v>
      </c>
      <c r="D74" t="s">
        <v>218</v>
      </c>
      <c r="E74" t="s">
        <v>219</v>
      </c>
      <c r="F74" t="s">
        <v>218</v>
      </c>
      <c r="G74" t="s">
        <v>20</v>
      </c>
      <c r="H74" t="s">
        <v>21</v>
      </c>
      <c r="I74">
        <v>1</v>
      </c>
      <c r="J74">
        <v>1</v>
      </c>
      <c r="K74">
        <v>0</v>
      </c>
    </row>
    <row r="75" spans="1:11" x14ac:dyDescent="0.15">
      <c r="A75" t="s">
        <v>22</v>
      </c>
      <c r="B75" t="s">
        <v>68</v>
      </c>
      <c r="C75" t="s">
        <v>17</v>
      </c>
      <c r="D75" t="s">
        <v>220</v>
      </c>
      <c r="E75" t="s">
        <v>221</v>
      </c>
      <c r="F75" t="s">
        <v>220</v>
      </c>
      <c r="G75" t="s">
        <v>20</v>
      </c>
      <c r="H75" t="s">
        <v>21</v>
      </c>
      <c r="I75">
        <v>2</v>
      </c>
      <c r="J75">
        <v>2</v>
      </c>
      <c r="K75">
        <v>0</v>
      </c>
    </row>
    <row r="76" spans="1:11" x14ac:dyDescent="0.15">
      <c r="A76" t="s">
        <v>22</v>
      </c>
      <c r="B76" t="s">
        <v>222</v>
      </c>
      <c r="C76" t="s">
        <v>223</v>
      </c>
      <c r="D76" t="s">
        <v>224</v>
      </c>
      <c r="E76" t="s">
        <v>225</v>
      </c>
      <c r="F76" t="s">
        <v>20</v>
      </c>
      <c r="G76" t="s">
        <v>20</v>
      </c>
      <c r="H76" t="s">
        <v>21</v>
      </c>
      <c r="I76">
        <v>3</v>
      </c>
      <c r="J76">
        <v>3</v>
      </c>
      <c r="K76">
        <v>0</v>
      </c>
    </row>
    <row r="77" spans="1:11" x14ac:dyDescent="0.15">
      <c r="A77" t="s">
        <v>22</v>
      </c>
      <c r="B77" t="s">
        <v>74</v>
      </c>
      <c r="C77" t="s">
        <v>17</v>
      </c>
      <c r="D77" t="s">
        <v>226</v>
      </c>
      <c r="E77" t="s">
        <v>110</v>
      </c>
      <c r="F77" t="s">
        <v>226</v>
      </c>
      <c r="G77" t="s">
        <v>20</v>
      </c>
      <c r="H77" t="s">
        <v>37</v>
      </c>
      <c r="I77">
        <v>1</v>
      </c>
      <c r="J77">
        <v>1</v>
      </c>
      <c r="K77">
        <v>0</v>
      </c>
    </row>
    <row r="78" spans="1:11" x14ac:dyDescent="0.15">
      <c r="A78" t="s">
        <v>22</v>
      </c>
      <c r="B78" t="s">
        <v>74</v>
      </c>
      <c r="C78" t="s">
        <v>17</v>
      </c>
      <c r="D78" t="s">
        <v>227</v>
      </c>
      <c r="E78" t="s">
        <v>228</v>
      </c>
      <c r="F78" t="s">
        <v>227</v>
      </c>
      <c r="G78" t="s">
        <v>20</v>
      </c>
      <c r="H78" t="s">
        <v>37</v>
      </c>
      <c r="I78">
        <v>1</v>
      </c>
      <c r="J78">
        <v>1</v>
      </c>
      <c r="K78">
        <v>0</v>
      </c>
    </row>
    <row r="79" spans="1:11" x14ac:dyDescent="0.15">
      <c r="A79" t="s">
        <v>22</v>
      </c>
      <c r="B79" t="s">
        <v>74</v>
      </c>
      <c r="C79" t="s">
        <v>17</v>
      </c>
      <c r="D79" t="s">
        <v>229</v>
      </c>
      <c r="E79" t="s">
        <v>230</v>
      </c>
      <c r="F79" t="s">
        <v>229</v>
      </c>
      <c r="G79" t="s">
        <v>20</v>
      </c>
      <c r="H79" t="s">
        <v>21</v>
      </c>
      <c r="I79">
        <v>5</v>
      </c>
      <c r="J79">
        <v>5</v>
      </c>
      <c r="K79">
        <v>0</v>
      </c>
    </row>
    <row r="80" spans="1:11" x14ac:dyDescent="0.15">
      <c r="A80" t="s">
        <v>22</v>
      </c>
      <c r="B80" t="s">
        <v>74</v>
      </c>
      <c r="C80" t="s">
        <v>17</v>
      </c>
      <c r="D80" t="s">
        <v>231</v>
      </c>
      <c r="E80" t="s">
        <v>232</v>
      </c>
      <c r="F80" t="s">
        <v>231</v>
      </c>
      <c r="G80" t="s">
        <v>20</v>
      </c>
      <c r="H80" t="s">
        <v>37</v>
      </c>
      <c r="I80">
        <v>1</v>
      </c>
      <c r="J80">
        <v>1</v>
      </c>
      <c r="K80">
        <v>0</v>
      </c>
    </row>
    <row r="81" spans="1:11" x14ac:dyDescent="0.15">
      <c r="A81" t="s">
        <v>22</v>
      </c>
      <c r="B81" t="s">
        <v>74</v>
      </c>
      <c r="C81" t="s">
        <v>17</v>
      </c>
      <c r="D81" t="s">
        <v>233</v>
      </c>
      <c r="E81" t="s">
        <v>234</v>
      </c>
      <c r="F81" t="s">
        <v>233</v>
      </c>
      <c r="G81" t="s">
        <v>20</v>
      </c>
      <c r="H81" t="s">
        <v>37</v>
      </c>
      <c r="I81">
        <v>1</v>
      </c>
      <c r="J81">
        <v>1</v>
      </c>
      <c r="K81">
        <v>0</v>
      </c>
    </row>
    <row r="82" spans="1:11" x14ac:dyDescent="0.15">
      <c r="A82" t="s">
        <v>22</v>
      </c>
      <c r="B82" t="s">
        <v>23</v>
      </c>
      <c r="C82" t="s">
        <v>24</v>
      </c>
      <c r="D82" t="s">
        <v>235</v>
      </c>
      <c r="E82" t="s">
        <v>236</v>
      </c>
      <c r="F82" t="s">
        <v>20</v>
      </c>
      <c r="G82" t="s">
        <v>20</v>
      </c>
      <c r="H82" t="s">
        <v>21</v>
      </c>
      <c r="I82">
        <v>3</v>
      </c>
      <c r="J82">
        <v>3</v>
      </c>
      <c r="K82">
        <v>0</v>
      </c>
    </row>
    <row r="83" spans="1:11" x14ac:dyDescent="0.15">
      <c r="A83" t="s">
        <v>27</v>
      </c>
      <c r="B83" t="s">
        <v>28</v>
      </c>
      <c r="C83" t="s">
        <v>17</v>
      </c>
      <c r="D83" t="s">
        <v>237</v>
      </c>
      <c r="E83" t="s">
        <v>238</v>
      </c>
      <c r="F83" t="s">
        <v>239</v>
      </c>
      <c r="G83" t="s">
        <v>58</v>
      </c>
      <c r="H83" t="s">
        <v>21</v>
      </c>
      <c r="I83">
        <v>3</v>
      </c>
      <c r="J83">
        <v>3</v>
      </c>
      <c r="K83">
        <v>0</v>
      </c>
    </row>
    <row r="84" spans="1:11" x14ac:dyDescent="0.15">
      <c r="A84" t="s">
        <v>33</v>
      </c>
      <c r="B84" t="s">
        <v>92</v>
      </c>
      <c r="C84" t="s">
        <v>17</v>
      </c>
      <c r="D84" t="s">
        <v>240</v>
      </c>
      <c r="E84" t="s">
        <v>241</v>
      </c>
      <c r="F84" t="s">
        <v>240</v>
      </c>
      <c r="G84" t="s">
        <v>20</v>
      </c>
      <c r="H84" t="s">
        <v>37</v>
      </c>
      <c r="I84">
        <v>1</v>
      </c>
      <c r="J84">
        <v>1</v>
      </c>
      <c r="K84">
        <v>0</v>
      </c>
    </row>
    <row r="85" spans="1:11" x14ac:dyDescent="0.15">
      <c r="A85" t="s">
        <v>40</v>
      </c>
      <c r="B85" t="s">
        <v>137</v>
      </c>
      <c r="C85" t="s">
        <v>17</v>
      </c>
      <c r="D85" t="s">
        <v>242</v>
      </c>
      <c r="E85" t="s">
        <v>243</v>
      </c>
      <c r="F85" t="s">
        <v>20</v>
      </c>
      <c r="G85" t="s">
        <v>20</v>
      </c>
      <c r="H85" t="s">
        <v>21</v>
      </c>
      <c r="I85">
        <v>1</v>
      </c>
      <c r="J85">
        <v>1</v>
      </c>
      <c r="K85">
        <v>0</v>
      </c>
    </row>
    <row r="86" spans="1:11" x14ac:dyDescent="0.15">
      <c r="A86" t="s">
        <v>40</v>
      </c>
      <c r="B86" t="s">
        <v>137</v>
      </c>
      <c r="C86" t="s">
        <v>17</v>
      </c>
      <c r="D86" t="s">
        <v>244</v>
      </c>
      <c r="E86" t="s">
        <v>245</v>
      </c>
      <c r="F86" t="s">
        <v>246</v>
      </c>
      <c r="G86" t="s">
        <v>58</v>
      </c>
      <c r="H86" t="s">
        <v>21</v>
      </c>
      <c r="I86">
        <v>3</v>
      </c>
      <c r="J86">
        <v>3</v>
      </c>
      <c r="K86">
        <v>0</v>
      </c>
    </row>
    <row r="87" spans="1:11" x14ac:dyDescent="0.15">
      <c r="A87" t="s">
        <v>40</v>
      </c>
      <c r="B87" t="s">
        <v>50</v>
      </c>
      <c r="C87" t="s">
        <v>24</v>
      </c>
      <c r="D87" t="s">
        <v>247</v>
      </c>
      <c r="E87" t="s">
        <v>248</v>
      </c>
      <c r="F87" t="s">
        <v>20</v>
      </c>
      <c r="G87" t="s">
        <v>20</v>
      </c>
      <c r="H87" t="s">
        <v>21</v>
      </c>
      <c r="I87">
        <v>1</v>
      </c>
      <c r="J87">
        <v>1</v>
      </c>
      <c r="K87">
        <v>0</v>
      </c>
    </row>
    <row r="88" spans="1:11" x14ac:dyDescent="0.15">
      <c r="A88" t="s">
        <v>15</v>
      </c>
      <c r="B88" t="s">
        <v>16</v>
      </c>
      <c r="C88" t="s">
        <v>17</v>
      </c>
      <c r="D88" t="s">
        <v>249</v>
      </c>
      <c r="E88" t="s">
        <v>250</v>
      </c>
      <c r="F88" t="s">
        <v>249</v>
      </c>
      <c r="G88" t="s">
        <v>20</v>
      </c>
      <c r="H88" t="s">
        <v>21</v>
      </c>
      <c r="I88">
        <v>1</v>
      </c>
      <c r="J88">
        <v>1</v>
      </c>
      <c r="K88">
        <v>0</v>
      </c>
    </row>
    <row r="89" spans="1:11" x14ac:dyDescent="0.15">
      <c r="A89" t="s">
        <v>22</v>
      </c>
      <c r="B89" t="s">
        <v>68</v>
      </c>
      <c r="C89" t="s">
        <v>17</v>
      </c>
      <c r="D89" t="s">
        <v>251</v>
      </c>
      <c r="E89" t="s">
        <v>252</v>
      </c>
      <c r="F89" t="s">
        <v>20</v>
      </c>
      <c r="G89" t="s">
        <v>20</v>
      </c>
      <c r="H89" t="s">
        <v>21</v>
      </c>
      <c r="I89">
        <v>2</v>
      </c>
      <c r="J89">
        <v>2</v>
      </c>
      <c r="K89">
        <v>0</v>
      </c>
    </row>
    <row r="90" spans="1:11" x14ac:dyDescent="0.15">
      <c r="A90" t="s">
        <v>22</v>
      </c>
      <c r="B90" t="s">
        <v>23</v>
      </c>
      <c r="C90" t="s">
        <v>152</v>
      </c>
      <c r="D90" t="s">
        <v>253</v>
      </c>
      <c r="E90" t="s">
        <v>254</v>
      </c>
      <c r="F90" t="s">
        <v>20</v>
      </c>
      <c r="G90" t="s">
        <v>20</v>
      </c>
      <c r="H90" t="s">
        <v>21</v>
      </c>
      <c r="I90">
        <v>1</v>
      </c>
      <c r="J90">
        <v>1</v>
      </c>
      <c r="K90">
        <v>0</v>
      </c>
    </row>
    <row r="91" spans="1:11" x14ac:dyDescent="0.15">
      <c r="A91" t="s">
        <v>33</v>
      </c>
      <c r="B91" t="s">
        <v>92</v>
      </c>
      <c r="C91" t="s">
        <v>17</v>
      </c>
      <c r="D91" t="s">
        <v>255</v>
      </c>
      <c r="E91" t="s">
        <v>94</v>
      </c>
      <c r="F91" t="s">
        <v>255</v>
      </c>
      <c r="G91" t="s">
        <v>20</v>
      </c>
      <c r="H91" t="s">
        <v>37</v>
      </c>
      <c r="I91">
        <v>1</v>
      </c>
      <c r="J91">
        <v>1</v>
      </c>
      <c r="K91">
        <v>0</v>
      </c>
    </row>
    <row r="92" spans="1:11" x14ac:dyDescent="0.15">
      <c r="A92" t="s">
        <v>33</v>
      </c>
      <c r="B92" t="s">
        <v>34</v>
      </c>
      <c r="C92" t="s">
        <v>17</v>
      </c>
      <c r="D92" t="s">
        <v>256</v>
      </c>
      <c r="E92" t="s">
        <v>257</v>
      </c>
      <c r="F92" t="s">
        <v>20</v>
      </c>
      <c r="G92" t="s">
        <v>20</v>
      </c>
      <c r="H92" t="s">
        <v>37</v>
      </c>
      <c r="I92">
        <v>1</v>
      </c>
      <c r="J92">
        <v>1</v>
      </c>
      <c r="K92">
        <v>0</v>
      </c>
    </row>
    <row r="93" spans="1:11" x14ac:dyDescent="0.15">
      <c r="A93" t="s">
        <v>258</v>
      </c>
      <c r="B93" t="s">
        <v>259</v>
      </c>
      <c r="C93" t="s">
        <v>17</v>
      </c>
      <c r="D93" t="s">
        <v>260</v>
      </c>
      <c r="E93" t="s">
        <v>261</v>
      </c>
      <c r="F93" t="s">
        <v>260</v>
      </c>
      <c r="G93" t="s">
        <v>20</v>
      </c>
      <c r="H93" t="s">
        <v>21</v>
      </c>
      <c r="I93">
        <v>1</v>
      </c>
      <c r="J93">
        <v>1</v>
      </c>
      <c r="K93">
        <v>0</v>
      </c>
    </row>
    <row r="94" spans="1:11" x14ac:dyDescent="0.15">
      <c r="A94" t="s">
        <v>40</v>
      </c>
      <c r="B94" t="s">
        <v>53</v>
      </c>
      <c r="C94" t="s">
        <v>17</v>
      </c>
      <c r="D94" t="s">
        <v>262</v>
      </c>
      <c r="E94" t="s">
        <v>263</v>
      </c>
      <c r="F94" t="s">
        <v>20</v>
      </c>
      <c r="G94" t="s">
        <v>20</v>
      </c>
      <c r="H94" t="s">
        <v>21</v>
      </c>
      <c r="I94">
        <v>1</v>
      </c>
      <c r="J94">
        <v>1</v>
      </c>
      <c r="K94">
        <v>0</v>
      </c>
    </row>
    <row r="95" spans="1:11" x14ac:dyDescent="0.15">
      <c r="A95" t="s">
        <v>27</v>
      </c>
      <c r="B95" t="s">
        <v>28</v>
      </c>
      <c r="C95" t="s">
        <v>17</v>
      </c>
      <c r="D95" t="s">
        <v>264</v>
      </c>
      <c r="E95" t="s">
        <v>265</v>
      </c>
      <c r="F95" t="s">
        <v>133</v>
      </c>
      <c r="G95" t="s">
        <v>266</v>
      </c>
      <c r="H95" t="s">
        <v>21</v>
      </c>
      <c r="I95">
        <v>1</v>
      </c>
      <c r="J95">
        <v>1</v>
      </c>
      <c r="K95">
        <v>0</v>
      </c>
    </row>
    <row r="96" spans="1:11" x14ac:dyDescent="0.15">
      <c r="A96" t="s">
        <v>33</v>
      </c>
      <c r="B96" t="s">
        <v>89</v>
      </c>
      <c r="C96" t="s">
        <v>17</v>
      </c>
      <c r="D96" t="s">
        <v>267</v>
      </c>
      <c r="E96" t="s">
        <v>268</v>
      </c>
      <c r="F96" t="s">
        <v>267</v>
      </c>
      <c r="G96" t="s">
        <v>20</v>
      </c>
      <c r="H96" t="s">
        <v>37</v>
      </c>
      <c r="I96">
        <v>1</v>
      </c>
      <c r="J96">
        <v>1</v>
      </c>
      <c r="K96">
        <v>0</v>
      </c>
    </row>
    <row r="97" spans="1:11" x14ac:dyDescent="0.15">
      <c r="A97" t="s">
        <v>22</v>
      </c>
      <c r="B97" t="s">
        <v>74</v>
      </c>
      <c r="C97" t="s">
        <v>17</v>
      </c>
      <c r="D97" t="s">
        <v>269</v>
      </c>
      <c r="E97" t="s">
        <v>270</v>
      </c>
      <c r="F97" t="s">
        <v>269</v>
      </c>
      <c r="G97" t="s">
        <v>20</v>
      </c>
      <c r="H97" t="s">
        <v>21</v>
      </c>
      <c r="I97">
        <v>1</v>
      </c>
      <c r="J97">
        <v>1</v>
      </c>
      <c r="K97">
        <v>0</v>
      </c>
    </row>
    <row r="98" spans="1:11" x14ac:dyDescent="0.15">
      <c r="A98" t="s">
        <v>22</v>
      </c>
      <c r="B98" t="s">
        <v>145</v>
      </c>
      <c r="C98" t="s">
        <v>17</v>
      </c>
      <c r="D98" t="s">
        <v>271</v>
      </c>
      <c r="E98" t="s">
        <v>272</v>
      </c>
      <c r="F98" t="s">
        <v>271</v>
      </c>
      <c r="G98" t="s">
        <v>20</v>
      </c>
      <c r="H98" t="s">
        <v>37</v>
      </c>
      <c r="I98">
        <v>1</v>
      </c>
      <c r="J98">
        <v>1</v>
      </c>
      <c r="K98">
        <v>0</v>
      </c>
    </row>
    <row r="99" spans="1:11" x14ac:dyDescent="0.15">
      <c r="A99" t="s">
        <v>15</v>
      </c>
      <c r="B99" t="s">
        <v>16</v>
      </c>
      <c r="C99" t="s">
        <v>17</v>
      </c>
      <c r="D99" t="s">
        <v>273</v>
      </c>
      <c r="E99" t="s">
        <v>274</v>
      </c>
      <c r="F99" t="s">
        <v>273</v>
      </c>
      <c r="G99" t="s">
        <v>20</v>
      </c>
      <c r="H99" t="s">
        <v>37</v>
      </c>
      <c r="I99">
        <v>1</v>
      </c>
      <c r="J99">
        <v>1</v>
      </c>
      <c r="K99">
        <v>0</v>
      </c>
    </row>
    <row r="100" spans="1:11" x14ac:dyDescent="0.15">
      <c r="A100" t="s">
        <v>22</v>
      </c>
      <c r="B100" t="s">
        <v>74</v>
      </c>
      <c r="C100" t="s">
        <v>17</v>
      </c>
      <c r="D100" t="s">
        <v>275</v>
      </c>
      <c r="E100" t="s">
        <v>276</v>
      </c>
      <c r="F100" t="s">
        <v>275</v>
      </c>
      <c r="G100" t="s">
        <v>20</v>
      </c>
      <c r="H100" t="s">
        <v>21</v>
      </c>
      <c r="I100">
        <v>2</v>
      </c>
      <c r="J100">
        <v>2</v>
      </c>
      <c r="K100">
        <v>0</v>
      </c>
    </row>
    <row r="101" spans="1:11" x14ac:dyDescent="0.15">
      <c r="A101" t="s">
        <v>22</v>
      </c>
      <c r="B101" t="s">
        <v>74</v>
      </c>
      <c r="C101" t="s">
        <v>17</v>
      </c>
      <c r="D101" t="s">
        <v>277</v>
      </c>
      <c r="E101" t="s">
        <v>278</v>
      </c>
      <c r="F101" t="s">
        <v>277</v>
      </c>
      <c r="G101" t="s">
        <v>20</v>
      </c>
      <c r="H101" t="s">
        <v>21</v>
      </c>
      <c r="I101">
        <v>1</v>
      </c>
      <c r="J101">
        <v>1</v>
      </c>
      <c r="K101">
        <v>0</v>
      </c>
    </row>
    <row r="102" spans="1:11" x14ac:dyDescent="0.15">
      <c r="A102" t="s">
        <v>22</v>
      </c>
      <c r="B102" t="s">
        <v>74</v>
      </c>
      <c r="C102" t="s">
        <v>17</v>
      </c>
      <c r="D102" t="s">
        <v>279</v>
      </c>
      <c r="E102" t="s">
        <v>280</v>
      </c>
      <c r="F102" t="s">
        <v>279</v>
      </c>
      <c r="G102" t="s">
        <v>20</v>
      </c>
      <c r="H102" t="s">
        <v>21</v>
      </c>
      <c r="I102">
        <v>1</v>
      </c>
      <c r="J102">
        <v>1</v>
      </c>
      <c r="K102">
        <v>0</v>
      </c>
    </row>
    <row r="103" spans="1:11" x14ac:dyDescent="0.15">
      <c r="A103" t="s">
        <v>22</v>
      </c>
      <c r="B103" t="s">
        <v>74</v>
      </c>
      <c r="C103" t="s">
        <v>17</v>
      </c>
      <c r="D103" t="s">
        <v>281</v>
      </c>
      <c r="E103" t="s">
        <v>282</v>
      </c>
      <c r="F103" t="s">
        <v>281</v>
      </c>
      <c r="G103" t="s">
        <v>20</v>
      </c>
      <c r="H103" t="s">
        <v>21</v>
      </c>
      <c r="I103">
        <v>4</v>
      </c>
      <c r="J103">
        <v>4</v>
      </c>
      <c r="K103">
        <v>0</v>
      </c>
    </row>
    <row r="104" spans="1:11" x14ac:dyDescent="0.15">
      <c r="A104" t="s">
        <v>22</v>
      </c>
      <c r="B104" t="s">
        <v>74</v>
      </c>
      <c r="C104" t="s">
        <v>17</v>
      </c>
      <c r="D104" t="s">
        <v>283</v>
      </c>
      <c r="E104" t="s">
        <v>284</v>
      </c>
      <c r="F104" t="s">
        <v>283</v>
      </c>
      <c r="G104" t="s">
        <v>20</v>
      </c>
      <c r="H104" t="s">
        <v>21</v>
      </c>
      <c r="I104">
        <v>2</v>
      </c>
      <c r="J104">
        <v>2</v>
      </c>
      <c r="K104">
        <v>0</v>
      </c>
    </row>
    <row r="105" spans="1:11" x14ac:dyDescent="0.15">
      <c r="A105" t="s">
        <v>22</v>
      </c>
      <c r="B105" t="s">
        <v>23</v>
      </c>
      <c r="C105" t="s">
        <v>179</v>
      </c>
      <c r="D105" t="s">
        <v>285</v>
      </c>
      <c r="E105" t="s">
        <v>181</v>
      </c>
      <c r="F105" t="s">
        <v>20</v>
      </c>
      <c r="G105" t="s">
        <v>20</v>
      </c>
      <c r="H105" t="s">
        <v>21</v>
      </c>
      <c r="I105">
        <v>2</v>
      </c>
      <c r="J105">
        <v>2</v>
      </c>
      <c r="K105">
        <v>0</v>
      </c>
    </row>
    <row r="106" spans="1:11" x14ac:dyDescent="0.15">
      <c r="A106" t="s">
        <v>22</v>
      </c>
      <c r="B106" t="s">
        <v>23</v>
      </c>
      <c r="C106" t="s">
        <v>24</v>
      </c>
      <c r="D106" t="s">
        <v>286</v>
      </c>
      <c r="E106" t="s">
        <v>287</v>
      </c>
      <c r="F106" t="s">
        <v>20</v>
      </c>
      <c r="G106" t="s">
        <v>20</v>
      </c>
      <c r="H106" t="s">
        <v>21</v>
      </c>
      <c r="I106">
        <v>1</v>
      </c>
      <c r="J106">
        <v>1</v>
      </c>
      <c r="K106">
        <v>0</v>
      </c>
    </row>
    <row r="107" spans="1:11" x14ac:dyDescent="0.15">
      <c r="A107" t="s">
        <v>27</v>
      </c>
      <c r="B107" t="s">
        <v>28</v>
      </c>
      <c r="C107" t="s">
        <v>17</v>
      </c>
      <c r="D107" t="s">
        <v>288</v>
      </c>
      <c r="E107" t="s">
        <v>289</v>
      </c>
      <c r="F107" t="s">
        <v>118</v>
      </c>
      <c r="G107" t="s">
        <v>290</v>
      </c>
      <c r="H107" t="s">
        <v>21</v>
      </c>
      <c r="I107">
        <v>1</v>
      </c>
      <c r="J107">
        <v>1</v>
      </c>
      <c r="K107">
        <v>0</v>
      </c>
    </row>
    <row r="108" spans="1:11" x14ac:dyDescent="0.15">
      <c r="A108" t="s">
        <v>27</v>
      </c>
      <c r="B108" t="s">
        <v>28</v>
      </c>
      <c r="C108" t="s">
        <v>17</v>
      </c>
      <c r="D108" t="s">
        <v>291</v>
      </c>
      <c r="E108" t="s">
        <v>292</v>
      </c>
      <c r="F108" t="s">
        <v>87</v>
      </c>
      <c r="G108" t="s">
        <v>266</v>
      </c>
      <c r="H108" t="s">
        <v>21</v>
      </c>
      <c r="I108">
        <v>2</v>
      </c>
      <c r="J108">
        <v>2</v>
      </c>
      <c r="K108">
        <v>0</v>
      </c>
    </row>
    <row r="109" spans="1:11" x14ac:dyDescent="0.15">
      <c r="A109" t="s">
        <v>15</v>
      </c>
      <c r="B109" t="s">
        <v>101</v>
      </c>
      <c r="C109" t="s">
        <v>17</v>
      </c>
      <c r="D109" t="s">
        <v>293</v>
      </c>
      <c r="E109" t="s">
        <v>294</v>
      </c>
      <c r="F109" t="s">
        <v>293</v>
      </c>
      <c r="G109" t="s">
        <v>20</v>
      </c>
      <c r="H109" t="s">
        <v>37</v>
      </c>
      <c r="I109">
        <v>1</v>
      </c>
      <c r="J109">
        <v>1</v>
      </c>
      <c r="K109">
        <v>0</v>
      </c>
    </row>
    <row r="111" spans="1:11" x14ac:dyDescent="0.15">
      <c r="A111" t="s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Stock</vt:lpstr>
      <vt:lpstr>Macro1</vt:lpstr>
      <vt:lpstr>Auto_Open</vt:lpstr>
      <vt:lpstr>Macro1</vt:lpstr>
      <vt:lpstr>Macro10</vt:lpstr>
      <vt:lpstr>Macro11</vt:lpstr>
      <vt:lpstr>Macro12</vt:lpstr>
      <vt:lpstr>Macro13</vt:lpstr>
      <vt:lpstr>Macro14</vt:lpstr>
      <vt:lpstr>Macro2</vt:lpstr>
      <vt:lpstr>Macro3</vt:lpstr>
      <vt:lpstr>Macro4</vt:lpstr>
      <vt:lpstr>Macro5</vt:lpstr>
      <vt:lpstr>Macro6</vt:lpstr>
      <vt:lpstr>Macro7</vt:lpstr>
      <vt:lpstr>Macro8</vt:lpstr>
      <vt:lpstr>Macro9</vt:lpstr>
      <vt:lpstr>Recover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يوسف مصطفى</dc:creator>
  <cp:lastModifiedBy>X</cp:lastModifiedBy>
  <dcterms:created xsi:type="dcterms:W3CDTF">2026-10-07T17:02:27Z</dcterms:created>
  <dcterms:modified xsi:type="dcterms:W3CDTF">2026-10-07T17:02:27Z</dcterms:modified>
</cp:coreProperties>
</file>